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Transactions" sheetId="2" state="visible" r:id="rId4"/>
    <sheet name="Monthly_Summary" sheetId="3" state="visible" r:id="rId5"/>
    <sheet name="Categories" sheetId="4" state="visible" r:id="rId6"/>
    <sheet name="Assump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<sst xmlns="http://schemas.openxmlformats.org/spreadsheetml/2006/main" count="3103" uniqueCount="851">
  <si>
    <t xml:space="preserve">SmartLens — SME Financial Dataset</t>
  </si>
  <si>
    <t xml:space="preserve">Simulated dataset for Tatenda Hardware | Harare, Zimbabwe | FY 2025</t>
  </si>
  <si>
    <t xml:space="preserve">Dataset Information</t>
  </si>
  <si>
    <t xml:space="preserve">Business</t>
  </si>
  <si>
    <t xml:space="preserve">Tatenda Hardware (Pvt) Ltd</t>
  </si>
  <si>
    <t xml:space="preserve">Location</t>
  </si>
  <si>
    <t xml:space="preserve">Harare, Zimbabwe</t>
  </si>
  <si>
    <t xml:space="preserve">Industry</t>
  </si>
  <si>
    <t xml:space="preserve">Retail Hardware &amp; Building Supplies</t>
  </si>
  <si>
    <t xml:space="preserve">Period</t>
  </si>
  <si>
    <t xml:space="preserve">January 2025 – December 2025 (Full Year)</t>
  </si>
  <si>
    <t xml:space="preserve">Currency</t>
  </si>
  <si>
    <t xml:space="preserve">USD (United States Dollars)</t>
  </si>
  <si>
    <t xml:space="preserve">Data Type</t>
  </si>
  <si>
    <t xml:space="preserve">Simulated — based on realistic SME benchmarks</t>
  </si>
  <si>
    <t xml:space="preserve">Prepared by</t>
  </si>
  <si>
    <t xml:space="preserve">Maxine Mutasa — SmartLens Project</t>
  </si>
  <si>
    <t xml:space="preserve">Last Updated</t>
  </si>
  <si>
    <t xml:space="preserve">May 2026</t>
  </si>
  <si>
    <t xml:space="preserve">Sheet Guide</t>
  </si>
  <si>
    <t xml:space="preserve">README</t>
  </si>
  <si>
    <t xml:space="preserve">This sheet — dataset overview and documentation</t>
  </si>
  <si>
    <t xml:space="preserve">Transactions</t>
  </si>
  <si>
    <t xml:space="preserve">Raw transaction log — all revenue and expense entries</t>
  </si>
  <si>
    <t xml:space="preserve">Monthly_Summary</t>
  </si>
  <si>
    <t xml:space="preserve">Aggregated monthly P&amp;L with formulas</t>
  </si>
  <si>
    <t xml:space="preserve">Categories</t>
  </si>
  <si>
    <t xml:space="preserve">Expense category lookup and budget reference</t>
  </si>
  <si>
    <t xml:space="preserve">Assumptions</t>
  </si>
  <si>
    <t xml:space="preserve">Simulation assumptions and benchmark sources</t>
  </si>
  <si>
    <t xml:space="preserve">Transaction ID</t>
  </si>
  <si>
    <t xml:space="preserve">Date</t>
  </si>
  <si>
    <t xml:space="preserve">Month</t>
  </si>
  <si>
    <t xml:space="preserve">Year</t>
  </si>
  <si>
    <t xml:space="preserve">Type</t>
  </si>
  <si>
    <t xml:space="preserve">Category</t>
  </si>
  <si>
    <t xml:space="preserve">Description</t>
  </si>
  <si>
    <t xml:space="preserve">Amount (USD)</t>
  </si>
  <si>
    <t xml:space="preserve">Notes</t>
  </si>
  <si>
    <t xml:space="preserve">TXN-0031</t>
  </si>
  <si>
    <t xml:space="preserve">Jan</t>
  </si>
  <si>
    <t xml:space="preserve">Expense</t>
  </si>
  <si>
    <t xml:space="preserve">Rent</t>
  </si>
  <si>
    <t xml:space="preserve">Rent - Jan 2025</t>
  </si>
  <si>
    <t xml:space="preserve">TXN-0004</t>
  </si>
  <si>
    <t xml:space="preserve">Revenue</t>
  </si>
  <si>
    <t xml:space="preserve">Sales Revenue</t>
  </si>
  <si>
    <t xml:space="preserve">Sales - Cash Sale</t>
  </si>
  <si>
    <t xml:space="preserve">TXN-0030</t>
  </si>
  <si>
    <t xml:space="preserve">Cost of Goods Sold</t>
  </si>
  <si>
    <t xml:space="preserve">Cost of Goods Sold payment 2</t>
  </si>
  <si>
    <t xml:space="preserve">TXN-0019</t>
  </si>
  <si>
    <t xml:space="preserve">TXN-0052</t>
  </si>
  <si>
    <t xml:space="preserve">Insurance</t>
  </si>
  <si>
    <t xml:space="preserve">Insurance - Jan 2025</t>
  </si>
  <si>
    <t xml:space="preserve">TXN-0013</t>
  </si>
  <si>
    <t xml:space="preserve">Sales - Harare City Council</t>
  </si>
  <si>
    <t xml:space="preserve">TXN-0032</t>
  </si>
  <si>
    <t xml:space="preserve">Staff Salaries</t>
  </si>
  <si>
    <t xml:space="preserve">Staff Salaries - Jan 2025</t>
  </si>
  <si>
    <t xml:space="preserve">TXN-0047</t>
  </si>
  <si>
    <t xml:space="preserve">Bank Charges</t>
  </si>
  <si>
    <t xml:space="preserve">Bank Charges - Jan 2025</t>
  </si>
  <si>
    <t xml:space="preserve">TXN-0048</t>
  </si>
  <si>
    <t xml:space="preserve">Mobile &amp; Internet</t>
  </si>
  <si>
    <t xml:space="preserve">Mobile &amp; Internet - Jan 2025</t>
  </si>
  <si>
    <t xml:space="preserve">TXN-0050</t>
  </si>
  <si>
    <t xml:space="preserve">Repairs &amp; Maintenance</t>
  </si>
  <si>
    <t xml:space="preserve">Repairs &amp; Maintenance payment 2</t>
  </si>
  <si>
    <t xml:space="preserve">TXN-0002</t>
  </si>
  <si>
    <t xml:space="preserve">Sales - Tatenda Hardware</t>
  </si>
  <si>
    <t xml:space="preserve">TXN-0011</t>
  </si>
  <si>
    <t xml:space="preserve">Sales - Moyo Contractors</t>
  </si>
  <si>
    <t xml:space="preserve">TXN-0042</t>
  </si>
  <si>
    <t xml:space="preserve">Marketing &amp; Advertising</t>
  </si>
  <si>
    <t xml:space="preserve">Marketing &amp; Advertising payment 3</t>
  </si>
  <si>
    <t xml:space="preserve">TXN-0010</t>
  </si>
  <si>
    <t xml:space="preserve">Sales - Nhamo Pvt Ltd</t>
  </si>
  <si>
    <t xml:space="preserve">TXN-0026</t>
  </si>
  <si>
    <t xml:space="preserve">Sales - FastFix Solutions</t>
  </si>
  <si>
    <t xml:space="preserve">TXN-0027</t>
  </si>
  <si>
    <t xml:space="preserve">Sales - Walk-in Customer</t>
  </si>
  <si>
    <t xml:space="preserve">TXN-0035</t>
  </si>
  <si>
    <t xml:space="preserve">Electricity &amp; Utilities</t>
  </si>
  <si>
    <t xml:space="preserve">Electricity &amp; Utilities payment 3</t>
  </si>
  <si>
    <t xml:space="preserve">TXN-0005</t>
  </si>
  <si>
    <t xml:space="preserve">TXN-0036</t>
  </si>
  <si>
    <t xml:space="preserve">Transport &amp; Delivery</t>
  </si>
  <si>
    <t xml:space="preserve">Transport &amp; Delivery payment 1</t>
  </si>
  <si>
    <t xml:space="preserve">TXN-0041</t>
  </si>
  <si>
    <t xml:space="preserve">Marketing &amp; Advertising payment 2</t>
  </si>
  <si>
    <t xml:space="preserve">TXN-0055</t>
  </si>
  <si>
    <t xml:space="preserve">Miscellaneous</t>
  </si>
  <si>
    <t xml:space="preserve">Miscellaneous payment 3</t>
  </si>
  <si>
    <t xml:space="preserve">TXN-0012</t>
  </si>
  <si>
    <t xml:space="preserve">TXN-0034</t>
  </si>
  <si>
    <t xml:space="preserve">Electricity &amp; Utilities payment 2</t>
  </si>
  <si>
    <t xml:space="preserve">TXN-0018</t>
  </si>
  <si>
    <t xml:space="preserve">Sales - BuildRight Co</t>
  </si>
  <si>
    <t xml:space="preserve">TXN-0024</t>
  </si>
  <si>
    <t xml:space="preserve">TXN-0040</t>
  </si>
  <si>
    <t xml:space="preserve">Marketing &amp; Advertising payment 1</t>
  </si>
  <si>
    <t xml:space="preserve">TXN-0016</t>
  </si>
  <si>
    <t xml:space="preserve">TXN-0022</t>
  </si>
  <si>
    <t xml:space="preserve">Sales - ZimBuild Supplies</t>
  </si>
  <si>
    <t xml:space="preserve">TXN-0028</t>
  </si>
  <si>
    <t xml:space="preserve">TXN-0045</t>
  </si>
  <si>
    <t xml:space="preserve">Office Supplies</t>
  </si>
  <si>
    <t xml:space="preserve">Office Supplies payment 3</t>
  </si>
  <si>
    <t xml:space="preserve">TXN-0008</t>
  </si>
  <si>
    <t xml:space="preserve">TXN-0003</t>
  </si>
  <si>
    <t xml:space="preserve">TXN-0006</t>
  </si>
  <si>
    <t xml:space="preserve">TXN-0038</t>
  </si>
  <si>
    <t xml:space="preserve">Transport &amp; Delivery payment 3</t>
  </si>
  <si>
    <t xml:space="preserve">TXN-0039</t>
  </si>
  <si>
    <t xml:space="preserve">Transport &amp; Delivery payment 4</t>
  </si>
  <si>
    <t xml:space="preserve">TXN-0014</t>
  </si>
  <si>
    <t xml:space="preserve">TXN-0046</t>
  </si>
  <si>
    <t xml:space="preserve">Office Supplies payment 4</t>
  </si>
  <si>
    <t xml:space="preserve">TXN-0044</t>
  </si>
  <si>
    <t xml:space="preserve">Office Supplies payment 2</t>
  </si>
  <si>
    <t xml:space="preserve">TXN-0051</t>
  </si>
  <si>
    <t xml:space="preserve">Repairs &amp; Maintenance payment 3</t>
  </si>
  <si>
    <t xml:space="preserve">TXN-0007</t>
  </si>
  <si>
    <t xml:space="preserve">TXN-0025</t>
  </si>
  <si>
    <t xml:space="preserve">TXN-0033</t>
  </si>
  <si>
    <t xml:space="preserve">Electricity &amp; Utilities payment 1</t>
  </si>
  <si>
    <t xml:space="preserve">TXN-0001</t>
  </si>
  <si>
    <t xml:space="preserve">TXN-0015</t>
  </si>
  <si>
    <t xml:space="preserve">TXN-0037</t>
  </si>
  <si>
    <t xml:space="preserve">Transport &amp; Delivery payment 2</t>
  </si>
  <si>
    <t xml:space="preserve">TXN-0049</t>
  </si>
  <si>
    <t xml:space="preserve">Repairs &amp; Maintenance payment 1</t>
  </si>
  <si>
    <t xml:space="preserve">TXN-0053</t>
  </si>
  <si>
    <t xml:space="preserve">Miscellaneous payment 1</t>
  </si>
  <si>
    <t xml:space="preserve">TXN-0054</t>
  </si>
  <si>
    <t xml:space="preserve">Miscellaneous payment 2</t>
  </si>
  <si>
    <t xml:space="preserve">TXN-0020</t>
  </si>
  <si>
    <t xml:space="preserve">TXN-0029</t>
  </si>
  <si>
    <t xml:space="preserve">Cost of Goods Sold payment 1</t>
  </si>
  <si>
    <t xml:space="preserve">TXN-0043</t>
  </si>
  <si>
    <t xml:space="preserve">Office Supplies payment 1</t>
  </si>
  <si>
    <t xml:space="preserve">TXN-0017</t>
  </si>
  <si>
    <t xml:space="preserve">TXN-0023</t>
  </si>
  <si>
    <t xml:space="preserve">TXN-0009</t>
  </si>
  <si>
    <t xml:space="preserve">TXN-0021</t>
  </si>
  <si>
    <t xml:space="preserve">TXN-0084</t>
  </si>
  <si>
    <t xml:space="preserve">Feb</t>
  </si>
  <si>
    <t xml:space="preserve">Rent - Feb 2025</t>
  </si>
  <si>
    <t xml:space="preserve">TXN-0085</t>
  </si>
  <si>
    <t xml:space="preserve">Staff Salaries - Feb 2025</t>
  </si>
  <si>
    <t xml:space="preserve">TXN-0093</t>
  </si>
  <si>
    <t xml:space="preserve">Bank Charges - Feb 2025</t>
  </si>
  <si>
    <t xml:space="preserve">TXN-0076</t>
  </si>
  <si>
    <t xml:space="preserve">TXN-0094</t>
  </si>
  <si>
    <t xml:space="preserve">Mobile &amp; Internet - Feb 2025</t>
  </si>
  <si>
    <t xml:space="preserve">TXN-0097</t>
  </si>
  <si>
    <t xml:space="preserve">Insurance - Feb 2025</t>
  </si>
  <si>
    <t xml:space="preserve">TXN-0064</t>
  </si>
  <si>
    <t xml:space="preserve">TXN-0088</t>
  </si>
  <si>
    <t xml:space="preserve">TXN-0061</t>
  </si>
  <si>
    <t xml:space="preserve">TXN-0058</t>
  </si>
  <si>
    <t xml:space="preserve">TXN-0066</t>
  </si>
  <si>
    <t xml:space="preserve">TXN-0067</t>
  </si>
  <si>
    <t xml:space="preserve">TXN-0078</t>
  </si>
  <si>
    <t xml:space="preserve">TXN-0087</t>
  </si>
  <si>
    <t xml:space="preserve">Transport &amp; Delivery - Feb</t>
  </si>
  <si>
    <t xml:space="preserve">TXN-0063</t>
  </si>
  <si>
    <t xml:space="preserve">TXN-0072</t>
  </si>
  <si>
    <t xml:space="preserve">TXN-0074</t>
  </si>
  <si>
    <t xml:space="preserve">TXN-0077</t>
  </si>
  <si>
    <t xml:space="preserve">TXN-0057</t>
  </si>
  <si>
    <t xml:space="preserve">TXN-0098</t>
  </si>
  <si>
    <t xml:space="preserve">TXN-0086</t>
  </si>
  <si>
    <t xml:space="preserve">Electricity &amp; Utilities - Feb</t>
  </si>
  <si>
    <t xml:space="preserve">TXN-0082</t>
  </si>
  <si>
    <t xml:space="preserve">TXN-0070</t>
  </si>
  <si>
    <t xml:space="preserve">TXN-0096</t>
  </si>
  <si>
    <t xml:space="preserve">TXN-0083</t>
  </si>
  <si>
    <t xml:space="preserve">TXN-0099</t>
  </si>
  <si>
    <t xml:space="preserve">TXN-0089</t>
  </si>
  <si>
    <t xml:space="preserve">TXN-0056</t>
  </si>
  <si>
    <t xml:space="preserve">TXN-0071</t>
  </si>
  <si>
    <t xml:space="preserve">TXN-0059</t>
  </si>
  <si>
    <t xml:space="preserve">TXN-0069</t>
  </si>
  <si>
    <t xml:space="preserve">TXN-0092</t>
  </si>
  <si>
    <t xml:space="preserve">Office Supplies - Feb</t>
  </si>
  <si>
    <t xml:space="preserve">TXN-0073</t>
  </si>
  <si>
    <t xml:space="preserve">TXN-0079</t>
  </si>
  <si>
    <t xml:space="preserve">TXN-0060</t>
  </si>
  <si>
    <t xml:space="preserve">TXN-0068</t>
  </si>
  <si>
    <t xml:space="preserve">TXN-0075</t>
  </si>
  <si>
    <t xml:space="preserve">TXN-0100</t>
  </si>
  <si>
    <t xml:space="preserve">TXN-0101</t>
  </si>
  <si>
    <t xml:space="preserve">Miscellaneous payment 4</t>
  </si>
  <si>
    <t xml:space="preserve">TXN-0065</t>
  </si>
  <si>
    <t xml:space="preserve">TXN-0080</t>
  </si>
  <si>
    <t xml:space="preserve">TXN-0081</t>
  </si>
  <si>
    <t xml:space="preserve">TXN-0090</t>
  </si>
  <si>
    <t xml:space="preserve">TXN-0062</t>
  </si>
  <si>
    <t xml:space="preserve">TXN-0091</t>
  </si>
  <si>
    <t xml:space="preserve">Marketing &amp; Advertising payment 4</t>
  </si>
  <si>
    <t xml:space="preserve">TXN-0095</t>
  </si>
  <si>
    <t xml:space="preserve">TXN-0134</t>
  </si>
  <si>
    <t xml:space="preserve">Mar</t>
  </si>
  <si>
    <t xml:space="preserve">Rent - Mar 2025</t>
  </si>
  <si>
    <t xml:space="preserve">TXN-0147</t>
  </si>
  <si>
    <t xml:space="preserve">Bank Charges - Mar 2025</t>
  </si>
  <si>
    <t xml:space="preserve">TXN-0153</t>
  </si>
  <si>
    <t xml:space="preserve">Insurance - Mar 2025</t>
  </si>
  <si>
    <t xml:space="preserve">TXN-0112</t>
  </si>
  <si>
    <t xml:space="preserve">TXN-0142</t>
  </si>
  <si>
    <t xml:space="preserve">TXN-0109</t>
  </si>
  <si>
    <t xml:space="preserve">TXN-0120</t>
  </si>
  <si>
    <t xml:space="preserve">TXN-0122</t>
  </si>
  <si>
    <t xml:space="preserve">TXN-0129</t>
  </si>
  <si>
    <t xml:space="preserve">TXN-0135</t>
  </si>
  <si>
    <t xml:space="preserve">Staff Salaries - Mar 2025</t>
  </si>
  <si>
    <t xml:space="preserve">TXN-0128</t>
  </si>
  <si>
    <t xml:space="preserve">TXN-0140</t>
  </si>
  <si>
    <t xml:space="preserve">TXN-0148</t>
  </si>
  <si>
    <t xml:space="preserve">Mobile &amp; Internet - Mar 2025</t>
  </si>
  <si>
    <t xml:space="preserve">TXN-0123</t>
  </si>
  <si>
    <t xml:space="preserve">TXN-0137</t>
  </si>
  <si>
    <t xml:space="preserve">TXN-0149</t>
  </si>
  <si>
    <t xml:space="preserve">TXN-0152</t>
  </si>
  <si>
    <t xml:space="preserve">Repairs &amp; Maintenance payment 4</t>
  </si>
  <si>
    <t xml:space="preserve">TXN-0131</t>
  </si>
  <si>
    <t xml:space="preserve">TXN-0146</t>
  </si>
  <si>
    <t xml:space="preserve">Office Supplies - Mar</t>
  </si>
  <si>
    <t xml:space="preserve">TXN-0121</t>
  </si>
  <si>
    <t xml:space="preserve">Sales - BriQue Builders</t>
  </si>
  <si>
    <t xml:space="preserve">TXN-0136</t>
  </si>
  <si>
    <t xml:space="preserve">TXN-0103</t>
  </si>
  <si>
    <t xml:space="preserve">TXN-0117</t>
  </si>
  <si>
    <t xml:space="preserve">TXN-0130</t>
  </si>
  <si>
    <t xml:space="preserve">TXN-0143</t>
  </si>
  <si>
    <t xml:space="preserve">TXN-0105</t>
  </si>
  <si>
    <t xml:space="preserve">TXN-0114</t>
  </si>
  <si>
    <t xml:space="preserve">TXN-0144</t>
  </si>
  <si>
    <t xml:space="preserve">TXN-0116</t>
  </si>
  <si>
    <t xml:space="preserve">TXN-0154</t>
  </si>
  <si>
    <t xml:space="preserve">TXN-0106</t>
  </si>
  <si>
    <t xml:space="preserve">TXN-0133</t>
  </si>
  <si>
    <t xml:space="preserve">TXN-0107</t>
  </si>
  <si>
    <t xml:space="preserve">TXN-0108</t>
  </si>
  <si>
    <t xml:space="preserve">TXN-0132</t>
  </si>
  <si>
    <t xml:space="preserve">TXN-0141</t>
  </si>
  <si>
    <t xml:space="preserve">TXN-0104</t>
  </si>
  <si>
    <t xml:space="preserve">TXN-0111</t>
  </si>
  <si>
    <t xml:space="preserve">TXN-0119</t>
  </si>
  <si>
    <t xml:space="preserve">TXN-0113</t>
  </si>
  <si>
    <t xml:space="preserve">TXN-0127</t>
  </si>
  <si>
    <t xml:space="preserve">TXN-0102</t>
  </si>
  <si>
    <t xml:space="preserve">TXN-0115</t>
  </si>
  <si>
    <t xml:space="preserve">TXN-0124</t>
  </si>
  <si>
    <t xml:space="preserve">TXN-0139</t>
  </si>
  <si>
    <t xml:space="preserve">TXN-0138</t>
  </si>
  <si>
    <t xml:space="preserve">TXN-0118</t>
  </si>
  <si>
    <t xml:space="preserve">TXN-0125</t>
  </si>
  <si>
    <t xml:space="preserve">TXN-0145</t>
  </si>
  <si>
    <t xml:space="preserve">TXN-0150</t>
  </si>
  <si>
    <t xml:space="preserve">TXN-0151</t>
  </si>
  <si>
    <t xml:space="preserve">TXN-0155</t>
  </si>
  <si>
    <t xml:space="preserve">TXN-0126</t>
  </si>
  <si>
    <t xml:space="preserve">TXN-0110</t>
  </si>
  <si>
    <t xml:space="preserve">TXN-0165</t>
  </si>
  <si>
    <t xml:space="preserve">Apr</t>
  </si>
  <si>
    <t xml:space="preserve">TXN-0200</t>
  </si>
  <si>
    <t xml:space="preserve">Insurance - Apr 2025</t>
  </si>
  <si>
    <t xml:space="preserve">TXN-0158</t>
  </si>
  <si>
    <t xml:space="preserve">TXN-0187</t>
  </si>
  <si>
    <t xml:space="preserve">Rent - Apr 2025</t>
  </si>
  <si>
    <t xml:space="preserve">TXN-0188</t>
  </si>
  <si>
    <t xml:space="preserve">Staff Salaries - Apr 2025</t>
  </si>
  <si>
    <t xml:space="preserve">TXN-0197</t>
  </si>
  <si>
    <t xml:space="preserve">Mobile &amp; Internet - Apr 2025</t>
  </si>
  <si>
    <t xml:space="preserve">TXN-0175</t>
  </si>
  <si>
    <t xml:space="preserve">TXN-0196</t>
  </si>
  <si>
    <t xml:space="preserve">Bank Charges - Apr 2025</t>
  </si>
  <si>
    <t xml:space="preserve">TXN-0204</t>
  </si>
  <si>
    <t xml:space="preserve">TXN-0181</t>
  </si>
  <si>
    <t xml:space="preserve">TXN-0191</t>
  </si>
  <si>
    <t xml:space="preserve">TXN-0202</t>
  </si>
  <si>
    <t xml:space="preserve">TXN-0162</t>
  </si>
  <si>
    <t xml:space="preserve">TXN-0163</t>
  </si>
  <si>
    <t xml:space="preserve">TXN-0166</t>
  </si>
  <si>
    <t xml:space="preserve">TXN-0167</t>
  </si>
  <si>
    <t xml:space="preserve">TXN-0177</t>
  </si>
  <si>
    <t xml:space="preserve">TXN-0179</t>
  </si>
  <si>
    <t xml:space="preserve">TXN-0190</t>
  </si>
  <si>
    <t xml:space="preserve">TXN-0169</t>
  </si>
  <si>
    <t xml:space="preserve">TXN-0185</t>
  </si>
  <si>
    <t xml:space="preserve">TXN-0164</t>
  </si>
  <si>
    <t xml:space="preserve">TXN-0182</t>
  </si>
  <si>
    <t xml:space="preserve">TXN-0168</t>
  </si>
  <si>
    <t xml:space="preserve">TXN-0178</t>
  </si>
  <si>
    <t xml:space="preserve">TXN-0180</t>
  </si>
  <si>
    <t xml:space="preserve">TXN-0186</t>
  </si>
  <si>
    <t xml:space="preserve">Cost of Goods Sold payment 3</t>
  </si>
  <si>
    <t xml:space="preserve">TXN-0193</t>
  </si>
  <si>
    <t xml:space="preserve">TXN-0170</t>
  </si>
  <si>
    <t xml:space="preserve">TXN-0201</t>
  </si>
  <si>
    <t xml:space="preserve">TXN-0171</t>
  </si>
  <si>
    <t xml:space="preserve">TXN-0194</t>
  </si>
  <si>
    <t xml:space="preserve">TXN-0184</t>
  </si>
  <si>
    <t xml:space="preserve">TXN-0195</t>
  </si>
  <si>
    <t xml:space="preserve">Office Supplies - Apr</t>
  </si>
  <si>
    <t xml:space="preserve">TXN-0161</t>
  </si>
  <si>
    <t xml:space="preserve">TXN-0176</t>
  </si>
  <si>
    <t xml:space="preserve">TXN-0189</t>
  </si>
  <si>
    <t xml:space="preserve">Electricity &amp; Utilities - Apr</t>
  </si>
  <si>
    <t xml:space="preserve">TXN-0172</t>
  </si>
  <si>
    <t xml:space="preserve">TXN-0174</t>
  </si>
  <si>
    <t xml:space="preserve">TXN-0198</t>
  </si>
  <si>
    <t xml:space="preserve">TXN-0156</t>
  </si>
  <si>
    <t xml:space="preserve">TXN-0157</t>
  </si>
  <si>
    <t xml:space="preserve">TXN-0173</t>
  </si>
  <si>
    <t xml:space="preserve">TXN-0192</t>
  </si>
  <si>
    <t xml:space="preserve">TXN-0159</t>
  </si>
  <si>
    <t xml:space="preserve">TXN-0160</t>
  </si>
  <si>
    <t xml:space="preserve">TXN-0183</t>
  </si>
  <si>
    <t xml:space="preserve">TXN-0199</t>
  </si>
  <si>
    <t xml:space="preserve">TXN-0203</t>
  </si>
  <si>
    <t xml:space="preserve">TXN-0222</t>
  </si>
  <si>
    <t xml:space="preserve">May</t>
  </si>
  <si>
    <t xml:space="preserve">TXN-0223</t>
  </si>
  <si>
    <t xml:space="preserve">TXN-0233</t>
  </si>
  <si>
    <t xml:space="preserve">Cost of Goods Sold payment 4</t>
  </si>
  <si>
    <t xml:space="preserve">TXN-0243</t>
  </si>
  <si>
    <t xml:space="preserve">Bank Charges - May 2025</t>
  </si>
  <si>
    <t xml:space="preserve">TXN-0244</t>
  </si>
  <si>
    <t xml:space="preserve">Mobile &amp; Internet - May 2025</t>
  </si>
  <si>
    <t xml:space="preserve">TXN-0216</t>
  </si>
  <si>
    <t xml:space="preserve">TXN-0218</t>
  </si>
  <si>
    <t xml:space="preserve">TXN-0234</t>
  </si>
  <si>
    <t xml:space="preserve">Rent - May 2025</t>
  </si>
  <si>
    <t xml:space="preserve">TXN-0235</t>
  </si>
  <si>
    <t xml:space="preserve">Staff Salaries - May 2025</t>
  </si>
  <si>
    <t xml:space="preserve">TXN-0247</t>
  </si>
  <si>
    <t xml:space="preserve">TXN-0246</t>
  </si>
  <si>
    <t xml:space="preserve">Insurance - May 2025</t>
  </si>
  <si>
    <t xml:space="preserve">TXN-0220</t>
  </si>
  <si>
    <t xml:space="preserve">TXN-0236</t>
  </si>
  <si>
    <t xml:space="preserve">TXN-0245</t>
  </si>
  <si>
    <t xml:space="preserve">Repairs &amp; Maintenance - May</t>
  </si>
  <si>
    <t xml:space="preserve">TXN-0213</t>
  </si>
  <si>
    <t xml:space="preserve">TXN-0226</t>
  </si>
  <si>
    <t xml:space="preserve">TXN-0212</t>
  </si>
  <si>
    <t xml:space="preserve">TXN-0240</t>
  </si>
  <si>
    <t xml:space="preserve">TXN-0215</t>
  </si>
  <si>
    <t xml:space="preserve">TXN-0228</t>
  </si>
  <si>
    <t xml:space="preserve">TXN-0242</t>
  </si>
  <si>
    <t xml:space="preserve">Office Supplies - May</t>
  </si>
  <si>
    <t xml:space="preserve">TXN-0217</t>
  </si>
  <si>
    <t xml:space="preserve">TXN-0224</t>
  </si>
  <si>
    <t xml:space="preserve">TXN-0227</t>
  </si>
  <si>
    <t xml:space="preserve">TXN-0239</t>
  </si>
  <si>
    <t xml:space="preserve">TXN-0205</t>
  </si>
  <si>
    <t xml:space="preserve">TXN-0207</t>
  </si>
  <si>
    <t xml:space="preserve">TXN-0237</t>
  </si>
  <si>
    <t xml:space="preserve">TXN-0208</t>
  </si>
  <si>
    <t xml:space="preserve">TXN-0209</t>
  </si>
  <si>
    <t xml:space="preserve">TXN-0219</t>
  </si>
  <si>
    <t xml:space="preserve">TXN-0230</t>
  </si>
  <si>
    <t xml:space="preserve">TXN-0231</t>
  </si>
  <si>
    <t xml:space="preserve">TXN-0248</t>
  </si>
  <si>
    <t xml:space="preserve">TXN-0206</t>
  </si>
  <si>
    <t xml:space="preserve">TXN-0232</t>
  </si>
  <si>
    <t xml:space="preserve">TXN-0214</t>
  </si>
  <si>
    <t xml:space="preserve">TXN-0210</t>
  </si>
  <si>
    <t xml:space="preserve">TXN-0225</t>
  </si>
  <si>
    <t xml:space="preserve">TXN-0229</t>
  </si>
  <si>
    <t xml:space="preserve">TXN-0241</t>
  </si>
  <si>
    <t xml:space="preserve">Marketing &amp; Advertising - May</t>
  </si>
  <si>
    <t xml:space="preserve">TXN-0211</t>
  </si>
  <si>
    <t xml:space="preserve">TXN-0221</t>
  </si>
  <si>
    <t xml:space="preserve">TXN-0238</t>
  </si>
  <si>
    <t xml:space="preserve">TXN-0252</t>
  </si>
  <si>
    <t xml:space="preserve">Jun</t>
  </si>
  <si>
    <t xml:space="preserve">TXN-0281</t>
  </si>
  <si>
    <t xml:space="preserve">TXN-0289</t>
  </si>
  <si>
    <t xml:space="preserve">Bank Charges - Jun 2025</t>
  </si>
  <si>
    <t xml:space="preserve">TXN-0290</t>
  </si>
  <si>
    <t xml:space="preserve">Mobile &amp; Internet - Jun 2025</t>
  </si>
  <si>
    <t xml:space="preserve">TXN-0268</t>
  </si>
  <si>
    <t xml:space="preserve">TXN-0274</t>
  </si>
  <si>
    <t xml:space="preserve">Rent - Jun 2025</t>
  </si>
  <si>
    <t xml:space="preserve">TXN-0282</t>
  </si>
  <si>
    <t xml:space="preserve">TXN-0294</t>
  </si>
  <si>
    <t xml:space="preserve">Insurance - Jun 2025</t>
  </si>
  <si>
    <t xml:space="preserve">TXN-0275</t>
  </si>
  <si>
    <t xml:space="preserve">Staff Salaries - Jun 2025</t>
  </si>
  <si>
    <t xml:space="preserve">TXN-0251</t>
  </si>
  <si>
    <t xml:space="preserve">TXN-0271</t>
  </si>
  <si>
    <t xml:space="preserve">TXN-0291</t>
  </si>
  <si>
    <t xml:space="preserve">TXN-0296</t>
  </si>
  <si>
    <t xml:space="preserve">TXN-0254</t>
  </si>
  <si>
    <t xml:space="preserve">TXN-0273</t>
  </si>
  <si>
    <t xml:space="preserve">TXN-0292</t>
  </si>
  <si>
    <t xml:space="preserve">TXN-0293</t>
  </si>
  <si>
    <t xml:space="preserve">TXN-0276</t>
  </si>
  <si>
    <t xml:space="preserve">TXN-0249</t>
  </si>
  <si>
    <t xml:space="preserve">TXN-0288</t>
  </si>
  <si>
    <t xml:space="preserve">TXN-0297</t>
  </si>
  <si>
    <t xml:space="preserve">TXN-0270</t>
  </si>
  <si>
    <t xml:space="preserve">TXN-0262</t>
  </si>
  <si>
    <t xml:space="preserve">TXN-0284</t>
  </si>
  <si>
    <t xml:space="preserve">TXN-0295</t>
  </si>
  <si>
    <t xml:space="preserve">TXN-0253</t>
  </si>
  <si>
    <t xml:space="preserve">TXN-0259</t>
  </si>
  <si>
    <t xml:space="preserve">TXN-0261</t>
  </si>
  <si>
    <t xml:space="preserve">TXN-0263</t>
  </si>
  <si>
    <t xml:space="preserve">TXN-0278</t>
  </si>
  <si>
    <t xml:space="preserve">TXN-0269</t>
  </si>
  <si>
    <t xml:space="preserve">TXN-0279</t>
  </si>
  <si>
    <t xml:space="preserve">TXN-0287</t>
  </si>
  <si>
    <t xml:space="preserve">TXN-0272</t>
  </si>
  <si>
    <t xml:space="preserve">TXN-0285</t>
  </si>
  <si>
    <t xml:space="preserve">TXN-0265</t>
  </si>
  <si>
    <t xml:space="preserve">TXN-0258</t>
  </si>
  <si>
    <t xml:space="preserve">TXN-0283</t>
  </si>
  <si>
    <t xml:space="preserve">TXN-0250</t>
  </si>
  <si>
    <t xml:space="preserve">TXN-0257</t>
  </si>
  <si>
    <t xml:space="preserve">TXN-0260</t>
  </si>
  <si>
    <t xml:space="preserve">TXN-0264</t>
  </si>
  <si>
    <t xml:space="preserve">TXN-0286</t>
  </si>
  <si>
    <t xml:space="preserve">TXN-0277</t>
  </si>
  <si>
    <t xml:space="preserve">TXN-0256</t>
  </si>
  <si>
    <t xml:space="preserve">TXN-0280</t>
  </si>
  <si>
    <t xml:space="preserve">TXN-0255</t>
  </si>
  <si>
    <t xml:space="preserve">TXN-0266</t>
  </si>
  <si>
    <t xml:space="preserve">TXN-0267</t>
  </si>
  <si>
    <t xml:space="preserve">TXN-0301</t>
  </si>
  <si>
    <t xml:space="preserve">Jul</t>
  </si>
  <si>
    <t xml:space="preserve">TXN-0319</t>
  </si>
  <si>
    <t xml:space="preserve">Staff Salaries - Jul 2025</t>
  </si>
  <si>
    <t xml:space="preserve">TXN-0339</t>
  </si>
  <si>
    <t xml:space="preserve">TXN-0299</t>
  </si>
  <si>
    <t xml:space="preserve">TXN-0303</t>
  </si>
  <si>
    <t xml:space="preserve">TXN-0314</t>
  </si>
  <si>
    <t xml:space="preserve">TXN-0330</t>
  </si>
  <si>
    <t xml:space="preserve">TXN-0308</t>
  </si>
  <si>
    <t xml:space="preserve">TXN-0316</t>
  </si>
  <si>
    <t xml:space="preserve">TXN-0329</t>
  </si>
  <si>
    <t xml:space="preserve">TXN-0340</t>
  </si>
  <si>
    <t xml:space="preserve">TXN-0333</t>
  </si>
  <si>
    <t xml:space="preserve">TXN-0335</t>
  </si>
  <si>
    <t xml:space="preserve">Bank Charges - Jul 2025</t>
  </si>
  <si>
    <t xml:space="preserve">TXN-0298</t>
  </si>
  <si>
    <t xml:space="preserve">TXN-0300</t>
  </si>
  <si>
    <t xml:space="preserve">TXN-0318</t>
  </si>
  <si>
    <t xml:space="preserve">Rent - Jul 2025</t>
  </si>
  <si>
    <t xml:space="preserve">TXN-0328</t>
  </si>
  <si>
    <t xml:space="preserve">TXN-0336</t>
  </si>
  <si>
    <t xml:space="preserve">Mobile &amp; Internet - Jul 2025</t>
  </si>
  <si>
    <t xml:space="preserve">TXN-0341</t>
  </si>
  <si>
    <t xml:space="preserve">Insurance - Jul 2025</t>
  </si>
  <si>
    <t xml:space="preserve">TXN-0317</t>
  </si>
  <si>
    <t xml:space="preserve">TXN-0331</t>
  </si>
  <si>
    <t xml:space="preserve">TXN-0327</t>
  </si>
  <si>
    <t xml:space="preserve">TXN-0338</t>
  </si>
  <si>
    <t xml:space="preserve">TXN-0321</t>
  </si>
  <si>
    <t xml:space="preserve">TXN-0305</t>
  </si>
  <si>
    <t xml:space="preserve">TXN-0313</t>
  </si>
  <si>
    <t xml:space="preserve">TXN-0312</t>
  </si>
  <si>
    <t xml:space="preserve">TXN-0332</t>
  </si>
  <si>
    <t xml:space="preserve">TXN-0334</t>
  </si>
  <si>
    <t xml:space="preserve">TXN-0302</t>
  </si>
  <si>
    <t xml:space="preserve">TXN-0304</t>
  </si>
  <si>
    <t xml:space="preserve">TXN-0311</t>
  </si>
  <si>
    <t xml:space="preserve">TXN-0324</t>
  </si>
  <si>
    <t xml:space="preserve">TXN-0337</t>
  </si>
  <si>
    <t xml:space="preserve">TXN-0306</t>
  </si>
  <si>
    <t xml:space="preserve">TXN-0325</t>
  </si>
  <si>
    <t xml:space="preserve">TXN-0342</t>
  </si>
  <si>
    <t xml:space="preserve">Miscellaneous - Jul</t>
  </si>
  <si>
    <t xml:space="preserve">TXN-0320</t>
  </si>
  <si>
    <t xml:space="preserve">TXN-0322</t>
  </si>
  <si>
    <t xml:space="preserve">TXN-0315</t>
  </si>
  <si>
    <t xml:space="preserve">TXN-0309</t>
  </si>
  <si>
    <t xml:space="preserve">TXN-0307</t>
  </si>
  <si>
    <t xml:space="preserve">TXN-0310</t>
  </si>
  <si>
    <t xml:space="preserve">TXN-0326</t>
  </si>
  <si>
    <t xml:space="preserve">TXN-0323</t>
  </si>
  <si>
    <t xml:space="preserve">Electricity &amp; Utilities payment 4</t>
  </si>
  <si>
    <t xml:space="preserve">TXN-0363</t>
  </si>
  <si>
    <t xml:space="preserve">Aug</t>
  </si>
  <si>
    <t xml:space="preserve">TXN-0343</t>
  </si>
  <si>
    <t xml:space="preserve">TXN-0377</t>
  </si>
  <si>
    <t xml:space="preserve">Rent - Aug 2025</t>
  </si>
  <si>
    <t xml:space="preserve">TXN-0386</t>
  </si>
  <si>
    <t xml:space="preserve">TXN-0392</t>
  </si>
  <si>
    <t xml:space="preserve">Insurance - Aug 2025</t>
  </si>
  <si>
    <t xml:space="preserve">TXN-0389</t>
  </si>
  <si>
    <t xml:space="preserve">Bank Charges - Aug 2025</t>
  </si>
  <si>
    <t xml:space="preserve">TXN-0365</t>
  </si>
  <si>
    <t xml:space="preserve">TXN-0378</t>
  </si>
  <si>
    <t xml:space="preserve">Staff Salaries - Aug 2025</t>
  </si>
  <si>
    <t xml:space="preserve">TXN-0390</t>
  </si>
  <si>
    <t xml:space="preserve">Mobile &amp; Internet - Aug 2025</t>
  </si>
  <si>
    <t xml:space="preserve">TXN-0369</t>
  </si>
  <si>
    <t xml:space="preserve">TXN-0371</t>
  </si>
  <si>
    <t xml:space="preserve">TXN-0387</t>
  </si>
  <si>
    <t xml:space="preserve">TXN-0345</t>
  </si>
  <si>
    <t xml:space="preserve">TXN-0356</t>
  </si>
  <si>
    <t xml:space="preserve">TXN-0381</t>
  </si>
  <si>
    <t xml:space="preserve">TXN-0364</t>
  </si>
  <si>
    <t xml:space="preserve">TXN-0367</t>
  </si>
  <si>
    <t xml:space="preserve">TXN-0393</t>
  </si>
  <si>
    <t xml:space="preserve">TXN-0350</t>
  </si>
  <si>
    <t xml:space="preserve">TXN-0348</t>
  </si>
  <si>
    <t xml:space="preserve">TXN-0349</t>
  </si>
  <si>
    <t xml:space="preserve">TXN-0352</t>
  </si>
  <si>
    <t xml:space="preserve">TXN-0373</t>
  </si>
  <si>
    <t xml:space="preserve">TXN-0379</t>
  </si>
  <si>
    <t xml:space="preserve">TXN-0394</t>
  </si>
  <si>
    <t xml:space="preserve">TXN-0383</t>
  </si>
  <si>
    <t xml:space="preserve">TXN-0360</t>
  </si>
  <si>
    <t xml:space="preserve">TXN-0391</t>
  </si>
  <si>
    <t xml:space="preserve">Repairs &amp; Maintenance - Aug</t>
  </si>
  <si>
    <t xml:space="preserve">TXN-0347</t>
  </si>
  <si>
    <t xml:space="preserve">TXN-0368</t>
  </si>
  <si>
    <t xml:space="preserve">TXN-0384</t>
  </si>
  <si>
    <t xml:space="preserve">Marketing &amp; Advertising - Aug</t>
  </si>
  <si>
    <t xml:space="preserve">TXN-0385</t>
  </si>
  <si>
    <t xml:space="preserve">TXN-0388</t>
  </si>
  <si>
    <t xml:space="preserve">TXN-0351</t>
  </si>
  <si>
    <t xml:space="preserve">TXN-0355</t>
  </si>
  <si>
    <t xml:space="preserve">TXN-0359</t>
  </si>
  <si>
    <t xml:space="preserve">TXN-0374</t>
  </si>
  <si>
    <t xml:space="preserve">TXN-0375</t>
  </si>
  <si>
    <t xml:space="preserve">TXN-0370</t>
  </si>
  <si>
    <t xml:space="preserve">TXN-0395</t>
  </si>
  <si>
    <t xml:space="preserve">TXN-0344</t>
  </si>
  <si>
    <t xml:space="preserve">TXN-0361</t>
  </si>
  <si>
    <t xml:space="preserve">TXN-0376</t>
  </si>
  <si>
    <t xml:space="preserve">TXN-0362</t>
  </si>
  <si>
    <t xml:space="preserve">TXN-0366</t>
  </si>
  <si>
    <t xml:space="preserve">TXN-0396</t>
  </si>
  <si>
    <t xml:space="preserve">TXN-0353</t>
  </si>
  <si>
    <t xml:space="preserve">TXN-0357</t>
  </si>
  <si>
    <t xml:space="preserve">TXN-0358</t>
  </si>
  <si>
    <t xml:space="preserve">TXN-0382</t>
  </si>
  <si>
    <t xml:space="preserve">TXN-0372</t>
  </si>
  <si>
    <t xml:space="preserve">TXN-0346</t>
  </si>
  <si>
    <t xml:space="preserve">TXN-0354</t>
  </si>
  <si>
    <t xml:space="preserve">TXN-0380</t>
  </si>
  <si>
    <t xml:space="preserve">TXN-0425</t>
  </si>
  <si>
    <t xml:space="preserve">Sep</t>
  </si>
  <si>
    <t xml:space="preserve">Rent - Sep 2025</t>
  </si>
  <si>
    <t xml:space="preserve">TXN-0436</t>
  </si>
  <si>
    <t xml:space="preserve">Mobile &amp; Internet - Sep 2025</t>
  </si>
  <si>
    <t xml:space="preserve">TXN-0400</t>
  </si>
  <si>
    <t xml:space="preserve">TXN-0405</t>
  </si>
  <si>
    <t xml:space="preserve">TXN-0409</t>
  </si>
  <si>
    <t xml:space="preserve">TXN-0435</t>
  </si>
  <si>
    <t xml:space="preserve">Bank Charges - Sep 2025</t>
  </si>
  <si>
    <t xml:space="preserve">TXN-0440</t>
  </si>
  <si>
    <t xml:space="preserve">Insurance - Sep 2025</t>
  </si>
  <si>
    <t xml:space="preserve">TXN-0403</t>
  </si>
  <si>
    <t xml:space="preserve">TXN-0420</t>
  </si>
  <si>
    <t xml:space="preserve">TXN-0426</t>
  </si>
  <si>
    <t xml:space="preserve">Staff Salaries - Sep 2025</t>
  </si>
  <si>
    <t xml:space="preserve">TXN-0407</t>
  </si>
  <si>
    <t xml:space="preserve">TXN-0431</t>
  </si>
  <si>
    <t xml:space="preserve">TXN-0415</t>
  </si>
  <si>
    <t xml:space="preserve">TXN-0429</t>
  </si>
  <si>
    <t xml:space="preserve">TXN-0427</t>
  </si>
  <si>
    <t xml:space="preserve">TXN-0424</t>
  </si>
  <si>
    <t xml:space="preserve">TXN-0406</t>
  </si>
  <si>
    <t xml:space="preserve">TXN-0418</t>
  </si>
  <si>
    <t xml:space="preserve">TXN-0399</t>
  </si>
  <si>
    <t xml:space="preserve">TXN-0416</t>
  </si>
  <si>
    <t xml:space="preserve">TXN-0439</t>
  </si>
  <si>
    <t xml:space="preserve">TXN-0423</t>
  </si>
  <si>
    <t xml:space="preserve">TXN-0417</t>
  </si>
  <si>
    <t xml:space="preserve">TXN-0414</t>
  </si>
  <si>
    <t xml:space="preserve">TXN-0434</t>
  </si>
  <si>
    <t xml:space="preserve">Office Supplies - Sep</t>
  </si>
  <si>
    <t xml:space="preserve">TXN-0441</t>
  </si>
  <si>
    <t xml:space="preserve">TXN-0438</t>
  </si>
  <si>
    <t xml:space="preserve">TXN-0408</t>
  </si>
  <si>
    <t xml:space="preserve">TXN-0411</t>
  </si>
  <si>
    <t xml:space="preserve">TXN-0410</t>
  </si>
  <si>
    <t xml:space="preserve">TXN-0401</t>
  </si>
  <si>
    <t xml:space="preserve">TXN-0412</t>
  </si>
  <si>
    <t xml:space="preserve">TXN-0428</t>
  </si>
  <si>
    <t xml:space="preserve">TXN-0432</t>
  </si>
  <si>
    <t xml:space="preserve">TXN-0433</t>
  </si>
  <si>
    <t xml:space="preserve">Marketing &amp; Advertising - Sep</t>
  </si>
  <si>
    <t xml:space="preserve">TXN-0413</t>
  </si>
  <si>
    <t xml:space="preserve">TXN-0422</t>
  </si>
  <si>
    <t xml:space="preserve">TXN-0404</t>
  </si>
  <si>
    <t xml:space="preserve">TXN-0402</t>
  </si>
  <si>
    <t xml:space="preserve">TXN-0437</t>
  </si>
  <si>
    <t xml:space="preserve">TXN-0442</t>
  </si>
  <si>
    <t xml:space="preserve">TXN-0421</t>
  </si>
  <si>
    <t xml:space="preserve">TXN-0430</t>
  </si>
  <si>
    <t xml:space="preserve">TXN-0397</t>
  </si>
  <si>
    <t xml:space="preserve">TXN-0398</t>
  </si>
  <si>
    <t xml:space="preserve">TXN-0419</t>
  </si>
  <si>
    <t xml:space="preserve">TXN-0484</t>
  </si>
  <si>
    <t xml:space="preserve">Oct</t>
  </si>
  <si>
    <t xml:space="preserve">TXN-0456</t>
  </si>
  <si>
    <t xml:space="preserve">TXN-0471</t>
  </si>
  <si>
    <t xml:space="preserve">TXN-0478</t>
  </si>
  <si>
    <t xml:space="preserve">Mobile &amp; Internet - Oct 2025</t>
  </si>
  <si>
    <t xml:space="preserve">TXN-0444</t>
  </si>
  <si>
    <t xml:space="preserve">TXN-0467</t>
  </si>
  <si>
    <t xml:space="preserve">Rent - Oct 2025</t>
  </si>
  <si>
    <t xml:space="preserve">TXN-0468</t>
  </si>
  <si>
    <t xml:space="preserve">Staff Salaries - Oct 2025</t>
  </si>
  <si>
    <t xml:space="preserve">TXN-0455</t>
  </si>
  <si>
    <t xml:space="preserve">TXN-0457</t>
  </si>
  <si>
    <t xml:space="preserve">TXN-0477</t>
  </si>
  <si>
    <t xml:space="preserve">Bank Charges - Oct 2025</t>
  </si>
  <si>
    <t xml:space="preserve">TXN-0481</t>
  </si>
  <si>
    <t xml:space="preserve">TXN-0482</t>
  </si>
  <si>
    <t xml:space="preserve">Insurance - Oct 2025</t>
  </si>
  <si>
    <t xml:space="preserve">TXN-0483</t>
  </si>
  <si>
    <t xml:space="preserve">TXN-0469</t>
  </si>
  <si>
    <t xml:space="preserve">Electricity &amp; Utilities - Oct</t>
  </si>
  <si>
    <t xml:space="preserve">TXN-0445</t>
  </si>
  <si>
    <t xml:space="preserve">TXN-0451</t>
  </si>
  <si>
    <t xml:space="preserve">TXN-0453</t>
  </si>
  <si>
    <t xml:space="preserve">TXN-0474</t>
  </si>
  <si>
    <t xml:space="preserve">TXN-0463</t>
  </si>
  <si>
    <t xml:space="preserve">TXN-0479</t>
  </si>
  <si>
    <t xml:space="preserve">TXN-0443</t>
  </si>
  <si>
    <t xml:space="preserve">TXN-0473</t>
  </si>
  <si>
    <t xml:space="preserve">TXN-0459</t>
  </si>
  <si>
    <t xml:space="preserve">TXN-0466</t>
  </si>
  <si>
    <t xml:space="preserve">TXN-0485</t>
  </si>
  <si>
    <t xml:space="preserve">TXN-0454</t>
  </si>
  <si>
    <t xml:space="preserve">TXN-0448</t>
  </si>
  <si>
    <t xml:space="preserve">TXN-0452</t>
  </si>
  <si>
    <t xml:space="preserve">TXN-0458</t>
  </si>
  <si>
    <t xml:space="preserve">TXN-0462</t>
  </si>
  <si>
    <t xml:space="preserve">TXN-0461</t>
  </si>
  <si>
    <t xml:space="preserve">TXN-0449</t>
  </si>
  <si>
    <t xml:space="preserve">TXN-0464</t>
  </si>
  <si>
    <t xml:space="preserve">TXN-0460</t>
  </si>
  <si>
    <t xml:space="preserve">TXN-0476</t>
  </si>
  <si>
    <t xml:space="preserve">TXN-0446</t>
  </si>
  <si>
    <t xml:space="preserve">TXN-0447</t>
  </si>
  <si>
    <t xml:space="preserve">TXN-0472</t>
  </si>
  <si>
    <t xml:space="preserve">TXN-0450</t>
  </si>
  <si>
    <t xml:space="preserve">TXN-0470</t>
  </si>
  <si>
    <t xml:space="preserve">Transport &amp; Delivery - Oct</t>
  </si>
  <si>
    <t xml:space="preserve">TXN-0475</t>
  </si>
  <si>
    <t xml:space="preserve">TXN-0465</t>
  </si>
  <si>
    <t xml:space="preserve">TXN-0480</t>
  </si>
  <si>
    <t xml:space="preserve">TXN-0520</t>
  </si>
  <si>
    <t xml:space="preserve">Nov</t>
  </si>
  <si>
    <t xml:space="preserve">Rent - Nov 2025</t>
  </si>
  <si>
    <t xml:space="preserve">TXN-0530</t>
  </si>
  <si>
    <t xml:space="preserve">TXN-0534</t>
  </si>
  <si>
    <t xml:space="preserve">Insurance - Nov 2025</t>
  </si>
  <si>
    <t xml:space="preserve">TXN-0517</t>
  </si>
  <si>
    <t xml:space="preserve">TXN-0521</t>
  </si>
  <si>
    <t xml:space="preserve">Staff Salaries - Nov 2025</t>
  </si>
  <si>
    <t xml:space="preserve">TXN-0531</t>
  </si>
  <si>
    <t xml:space="preserve">Bank Charges - Nov 2025</t>
  </si>
  <si>
    <t xml:space="preserve">TXN-0489</t>
  </si>
  <si>
    <t xml:space="preserve">TXN-0496</t>
  </si>
  <si>
    <t xml:space="preserve">TXN-0503</t>
  </si>
  <si>
    <t xml:space="preserve">TXN-0508</t>
  </si>
  <si>
    <t xml:space="preserve">TXN-0512</t>
  </si>
  <si>
    <t xml:space="preserve">TXN-0522</t>
  </si>
  <si>
    <t xml:space="preserve">TXN-0532</t>
  </si>
  <si>
    <t xml:space="preserve">Mobile &amp; Internet - Nov 2025</t>
  </si>
  <si>
    <t xml:space="preserve">TXN-0499</t>
  </si>
  <si>
    <t xml:space="preserve">TXN-0510</t>
  </si>
  <si>
    <t xml:space="preserve">TXN-0535</t>
  </si>
  <si>
    <t xml:space="preserve">TXN-0505</t>
  </si>
  <si>
    <t xml:space="preserve">TXN-0506</t>
  </si>
  <si>
    <t xml:space="preserve">TXN-0487</t>
  </si>
  <si>
    <t xml:space="preserve">TXN-0518</t>
  </si>
  <si>
    <t xml:space="preserve">TXN-0498</t>
  </si>
  <si>
    <t xml:space="preserve">TXN-0515</t>
  </si>
  <si>
    <t xml:space="preserve">TXN-0528</t>
  </si>
  <si>
    <t xml:space="preserve">TXN-0490</t>
  </si>
  <si>
    <t xml:space="preserve">TXN-0523</t>
  </si>
  <si>
    <t xml:space="preserve">TXN-0529</t>
  </si>
  <si>
    <t xml:space="preserve">TXN-0536</t>
  </si>
  <si>
    <t xml:space="preserve">TXN-0501</t>
  </si>
  <si>
    <t xml:space="preserve">TXN-0488</t>
  </si>
  <si>
    <t xml:space="preserve">TXN-0524</t>
  </si>
  <si>
    <t xml:space="preserve">TXN-0491</t>
  </si>
  <si>
    <t xml:space="preserve">TXN-0497</t>
  </si>
  <si>
    <t xml:space="preserve">TXN-0502</t>
  </si>
  <si>
    <t xml:space="preserve">TXN-0507</t>
  </si>
  <si>
    <t xml:space="preserve">TXN-0495</t>
  </si>
  <si>
    <t xml:space="preserve">TXN-0513</t>
  </si>
  <si>
    <t xml:space="preserve">TXN-0514</t>
  </si>
  <si>
    <t xml:space="preserve">TXN-0526</t>
  </si>
  <si>
    <t xml:space="preserve">TXN-0486</t>
  </si>
  <si>
    <t xml:space="preserve">TXN-0500</t>
  </si>
  <si>
    <t xml:space="preserve">TXN-0492</t>
  </si>
  <si>
    <t xml:space="preserve">TXN-0519</t>
  </si>
  <si>
    <t xml:space="preserve">TXN-0494</t>
  </si>
  <si>
    <t xml:space="preserve">TXN-0504</t>
  </si>
  <si>
    <t xml:space="preserve">TXN-0533</t>
  </si>
  <si>
    <t xml:space="preserve">Repairs &amp; Maintenance - Nov</t>
  </si>
  <si>
    <t xml:space="preserve">TXN-0509</t>
  </si>
  <si>
    <t xml:space="preserve">TXN-0527</t>
  </si>
  <si>
    <t xml:space="preserve">Marketing &amp; Advertising - Nov</t>
  </si>
  <si>
    <t xml:space="preserve">TXN-0516</t>
  </si>
  <si>
    <t xml:space="preserve">TXN-0511</t>
  </si>
  <si>
    <t xml:space="preserve">TXN-0493</t>
  </si>
  <si>
    <t xml:space="preserve">TXN-0525</t>
  </si>
  <si>
    <t xml:space="preserve">TXN-0563</t>
  </si>
  <si>
    <t xml:space="preserve">Dec</t>
  </si>
  <si>
    <t xml:space="preserve">Rent - Dec 2025</t>
  </si>
  <si>
    <t xml:space="preserve">TXN-0575</t>
  </si>
  <si>
    <t xml:space="preserve">Bank Charges - Dec 2025</t>
  </si>
  <si>
    <t xml:space="preserve">TXN-0538</t>
  </si>
  <si>
    <t xml:space="preserve">TXN-0562</t>
  </si>
  <si>
    <t xml:space="preserve">TXN-0568</t>
  </si>
  <si>
    <t xml:space="preserve">TXN-0581</t>
  </si>
  <si>
    <t xml:space="preserve">Insurance - Dec 2025</t>
  </si>
  <si>
    <t xml:space="preserve">TXN-0543</t>
  </si>
  <si>
    <t xml:space="preserve">TXN-0572</t>
  </si>
  <si>
    <t xml:space="preserve">TXN-0576</t>
  </si>
  <si>
    <t xml:space="preserve">Mobile &amp; Internet - Dec 2025</t>
  </si>
  <si>
    <t xml:space="preserve">TXN-0564</t>
  </si>
  <si>
    <t xml:space="preserve">Staff Salaries - Dec 2025</t>
  </si>
  <si>
    <t xml:space="preserve">TXN-0570</t>
  </si>
  <si>
    <t xml:space="preserve">TXN-0573</t>
  </si>
  <si>
    <t xml:space="preserve">TXN-0567</t>
  </si>
  <si>
    <t xml:space="preserve">TXN-0547</t>
  </si>
  <si>
    <t xml:space="preserve">TXN-0569</t>
  </si>
  <si>
    <t xml:space="preserve">Transport &amp; Delivery - Dec</t>
  </si>
  <si>
    <t xml:space="preserve">TXN-0571</t>
  </si>
  <si>
    <t xml:space="preserve">TXN-0540</t>
  </si>
  <si>
    <t xml:space="preserve">TXN-0542</t>
  </si>
  <si>
    <t xml:space="preserve">TXN-0544</t>
  </si>
  <si>
    <t xml:space="preserve">TXN-0549</t>
  </si>
  <si>
    <t xml:space="preserve">TXN-0558</t>
  </si>
  <si>
    <t xml:space="preserve">TXN-0583</t>
  </si>
  <si>
    <t xml:space="preserve">TXN-0565</t>
  </si>
  <si>
    <t xml:space="preserve">TXN-0561</t>
  </si>
  <si>
    <t xml:space="preserve">TXN-0546</t>
  </si>
  <si>
    <t xml:space="preserve">TXN-0551</t>
  </si>
  <si>
    <t xml:space="preserve">TXN-0555</t>
  </si>
  <si>
    <t xml:space="preserve">TXN-0541</t>
  </si>
  <si>
    <t xml:space="preserve">TXN-0550</t>
  </si>
  <si>
    <t xml:space="preserve">TXN-0552</t>
  </si>
  <si>
    <t xml:space="preserve">TXN-0556</t>
  </si>
  <si>
    <t xml:space="preserve">TXN-0577</t>
  </si>
  <si>
    <t xml:space="preserve">TXN-0539</t>
  </si>
  <si>
    <t xml:space="preserve">TXN-0580</t>
  </si>
  <si>
    <t xml:space="preserve">TXN-0578</t>
  </si>
  <si>
    <t xml:space="preserve">TXN-0579</t>
  </si>
  <si>
    <t xml:space="preserve">TXN-0582</t>
  </si>
  <si>
    <t xml:space="preserve">TXN-0545</t>
  </si>
  <si>
    <t xml:space="preserve">TXN-0557</t>
  </si>
  <si>
    <t xml:space="preserve">TXN-0560</t>
  </si>
  <si>
    <t xml:space="preserve">TXN-0537</t>
  </si>
  <si>
    <t xml:space="preserve">TXN-0548</t>
  </si>
  <si>
    <t xml:space="preserve">TXN-0566</t>
  </si>
  <si>
    <t xml:space="preserve">TXN-0574</t>
  </si>
  <si>
    <t xml:space="preserve">TXN-0553</t>
  </si>
  <si>
    <t xml:space="preserve">TXN-0559</t>
  </si>
  <si>
    <t xml:space="preserve">TXN-0554</t>
  </si>
  <si>
    <t xml:space="preserve">SmartLens — Monthly P&amp;L Summary | Tatenda Hardware | FY 2025</t>
  </si>
  <si>
    <t xml:space="preserve">FY 2025 Total</t>
  </si>
  <si>
    <t xml:space="preserve">REVENUE</t>
  </si>
  <si>
    <t xml:space="preserve">  Sales Revenue</t>
  </si>
  <si>
    <t xml:space="preserve">EXPENSES</t>
  </si>
  <si>
    <t xml:space="preserve">  Cost of Goods Sold</t>
  </si>
  <si>
    <t xml:space="preserve">  Rent</t>
  </si>
  <si>
    <t xml:space="preserve">  Staff Salaries</t>
  </si>
  <si>
    <t xml:space="preserve">  Electricity &amp; Utilities</t>
  </si>
  <si>
    <t xml:space="preserve">  Transport &amp; Delivery</t>
  </si>
  <si>
    <t xml:space="preserve">  Marketing &amp; Advertising</t>
  </si>
  <si>
    <t xml:space="preserve">  Office Supplies</t>
  </si>
  <si>
    <t xml:space="preserve">  Bank Charges</t>
  </si>
  <si>
    <t xml:space="preserve">  Mobile &amp; Internet</t>
  </si>
  <si>
    <t xml:space="preserve">  Repairs &amp; Maintenance</t>
  </si>
  <si>
    <t xml:space="preserve">  Insurance</t>
  </si>
  <si>
    <t xml:space="preserve">  Miscellaneous</t>
  </si>
  <si>
    <t xml:space="preserve">TOTAL EXPENSES</t>
  </si>
  <si>
    <t xml:space="preserve">GROSS PROFIT</t>
  </si>
  <si>
    <t xml:space="preserve">  Profit Margin %</t>
  </si>
  <si>
    <t xml:space="preserve">OPENING CASH BALANCE</t>
  </si>
  <si>
    <t xml:space="preserve">  Net Cash Flow</t>
  </si>
  <si>
    <t xml:space="preserve">CLOSING CASH BALANCE</t>
  </si>
  <si>
    <t xml:space="preserve">Monthly Budget (USD)</t>
  </si>
  <si>
    <t xml:space="preserve">Annual Budget (USD)</t>
  </si>
  <si>
    <t xml:space="preserve">Fixed / Variable</t>
  </si>
  <si>
    <t xml:space="preserve">Fixed</t>
  </si>
  <si>
    <t xml:space="preserve">Primary revenue stream — hardware &amp; building supplies retail</t>
  </si>
  <si>
    <t xml:space="preserve">Variable</t>
  </si>
  <si>
    <t xml:space="preserve">Variable — fluctuates with sales volume</t>
  </si>
  <si>
    <t xml:space="preserve">Fixed monthly cost</t>
  </si>
  <si>
    <t xml:space="preserve">Assumption</t>
  </si>
  <si>
    <t xml:space="preserve">Value</t>
  </si>
  <si>
    <t xml:space="preserve">Source / Basis</t>
  </si>
  <si>
    <t xml:space="preserve">Business type</t>
  </si>
  <si>
    <t xml:space="preserve">Retail hardware &amp; building supplies</t>
  </si>
  <si>
    <t xml:space="preserve">Project design</t>
  </si>
  <si>
    <t xml:space="preserve">Based on Tatenda Hardware persona</t>
  </si>
  <si>
    <t xml:space="preserve">Base monthly revenue</t>
  </si>
  <si>
    <t xml:space="preserve">USD 18,000 – 31,500</t>
  </si>
  <si>
    <t xml:space="preserve">ZimStat SME survey benchmarks</t>
  </si>
  <si>
    <t xml:space="preserve">Seasonal variation applied</t>
  </si>
  <si>
    <t xml:space="preserve">Revenue seasonality</t>
  </si>
  <si>
    <t xml:space="preserve">Dec/Nov peak (+60–70%)</t>
  </si>
  <si>
    <t xml:space="preserve">Zimbabwe retail calendar</t>
  </si>
  <si>
    <t xml:space="preserve">Year-end construction boom</t>
  </si>
  <si>
    <t xml:space="preserve">COGS as % of revenue</t>
  </si>
  <si>
    <t xml:space="preserve">~45%</t>
  </si>
  <si>
    <t xml:space="preserve">Hardware retail industry benchmark</t>
  </si>
  <si>
    <t xml:space="preserve">Includes supplier cost and restocking</t>
  </si>
  <si>
    <t xml:space="preserve">Staff headcount</t>
  </si>
  <si>
    <t xml:space="preserve">6 employees</t>
  </si>
  <si>
    <t xml:space="preserve">Project persona assumption</t>
  </si>
  <si>
    <t xml:space="preserve">Owner + 5 staff</t>
  </si>
  <si>
    <t xml:space="preserve">Average monthly salary</t>
  </si>
  <si>
    <t xml:space="preserve">USD 367 / employee</t>
  </si>
  <si>
    <t xml:space="preserve">ZimStat 2024 wage data</t>
  </si>
  <si>
    <t xml:space="preserve">Retail sector average</t>
  </si>
  <si>
    <t xml:space="preserve">Rent (Harare CBD)</t>
  </si>
  <si>
    <t xml:space="preserve">USD 1,500 / month</t>
  </si>
  <si>
    <t xml:space="preserve">Property market estimate</t>
  </si>
  <si>
    <t xml:space="preserve">Medium-sized retail space</t>
  </si>
  <si>
    <t xml:space="preserve">Opening cash balance</t>
  </si>
  <si>
    <t xml:space="preserve">USD 12,500</t>
  </si>
  <si>
    <t xml:space="preserve">Simulated assumption</t>
  </si>
  <si>
    <t xml:space="preserve">Represents healthy small buffer</t>
  </si>
  <si>
    <t xml:space="preserve">USD (dollarized)</t>
  </si>
  <si>
    <t xml:space="preserve">Zimbabwe economic context</t>
  </si>
  <si>
    <t xml:space="preserve">USD dominates formal retail transactions</t>
  </si>
  <si>
    <t xml:space="preserve">Simulation period</t>
  </si>
  <si>
    <t xml:space="preserve">Full Year 2025 (Jan–Dec)</t>
  </si>
  <si>
    <t xml:space="preserve">Project scope</t>
  </si>
  <si>
    <t xml:space="preserve">12 months of data</t>
  </si>
  <si>
    <t xml:space="preserve">Total transactions simulated</t>
  </si>
  <si>
    <t xml:space="preserve">583</t>
  </si>
  <si>
    <t xml:space="preserve">Generated by dataset script</t>
  </si>
  <si>
    <t xml:space="preserve">Mix of revenue and expense entries</t>
  </si>
  <si>
    <t xml:space="preserve">Anomaly: winter utilities</t>
  </si>
  <si>
    <t xml:space="preserve">35% increase Jun–Jul</t>
  </si>
  <si>
    <t xml:space="preserve">ZESA tariff pattern</t>
  </si>
  <si>
    <t xml:space="preserve">Winter electricity surcharge applied</t>
  </si>
  <si>
    <t xml:space="preserve">Data integrity</t>
  </si>
  <si>
    <t xml:space="preserve">Simulated — not real business data</t>
  </si>
  <si>
    <t xml:space="preserve">SmartLens project disclaimer</t>
  </si>
  <si>
    <t xml:space="preserve">For portfolio and learning purposes only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</si>
</sst>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#,##0.00_);\(#,##0.00\)"/>
    <numFmt numFmtId="167" formatCode="#,##0_);\(#,##0\)"/>
    <numFmt numFmtId="168" formatCode="0.0%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E3A5F"/>
      <name val="Arial"/>
      <family val="0"/>
      <charset val="1"/>
    </font>
    <font>
      <i val="true"/>
      <sz val="11"/>
      <color rgb="FF2E86A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85FA5"/>
      <name val="Arial"/>
      <family val="0"/>
      <charset val="1"/>
    </font>
    <font>
      <b val="true"/>
      <sz val="10"/>
      <color rgb="FFA32D2D"/>
      <name val="Arial"/>
      <family val="0"/>
      <charset val="1"/>
    </font>
    <font>
      <sz val="10"/>
      <color rgb="FFA32D2D"/>
      <name val="Arial"/>
      <family val="0"/>
      <charset val="1"/>
    </font>
    <font>
      <i val="true"/>
      <sz val="10"/>
      <color rgb="FF888780"/>
      <name val="Arial"/>
      <family val="0"/>
      <charset val="1"/>
    </font>
    <font>
      <b val="true"/>
      <sz val="10"/>
      <color rgb="FF3B6D11"/>
      <name val="Arial"/>
      <family val="0"/>
      <charset val="1"/>
    </font>
    <font>
      <sz val="10"/>
      <color rgb="FF3B6D11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2E86AB"/>
      <name val="Arial"/>
      <family val="0"/>
      <charset val="1"/>
    </font>
    <font>
      <b val="true"/>
      <sz val="10"/>
      <color rgb="FF534AB7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E8F4FD"/>
        <bgColor rgb="FFEEEDFE"/>
      </patternFill>
    </fill>
    <fill>
      <patternFill patternType="solid">
        <fgColor rgb="FF2E86AB"/>
        <bgColor rgb="FF008080"/>
      </patternFill>
    </fill>
    <fill>
      <patternFill patternType="solid">
        <fgColor rgb="FFF2F8FF"/>
        <bgColor rgb="FFE8F4FD"/>
      </patternFill>
    </fill>
    <fill>
      <patternFill patternType="solid">
        <fgColor rgb="FFFFFFFF"/>
        <bgColor rgb="FFF2F8FF"/>
      </patternFill>
    </fill>
    <fill>
      <patternFill patternType="solid">
        <fgColor rgb="FF1E3A5F"/>
        <bgColor rgb="FF333333"/>
      </patternFill>
    </fill>
    <fill>
      <patternFill patternType="solid">
        <fgColor rgb="FFFCEBEB"/>
        <bgColor rgb="FFEEEDFE"/>
      </patternFill>
    </fill>
    <fill>
      <patternFill patternType="solid">
        <fgColor rgb="FFEAF3DE"/>
        <bgColor rgb="FFE8F4FD"/>
      </patternFill>
    </fill>
    <fill>
      <patternFill patternType="solid">
        <fgColor rgb="FFD6EAF8"/>
        <bgColor rgb="FFE8F4FD"/>
      </patternFill>
    </fill>
    <fill>
      <patternFill patternType="solid">
        <fgColor rgb="FFEEEDFE"/>
        <bgColor rgb="FFE8F4FD"/>
      </patternFill>
    </fill>
    <fill>
      <patternFill patternType="solid">
        <fgColor rgb="FFCECBF6"/>
        <bgColor rgb="FFCC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4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8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9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1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1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8" fillId="11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6D11"/>
      <rgbColor rgb="FF000080"/>
      <rgbColor rgb="FF808000"/>
      <rgbColor rgb="FF800080"/>
      <rgbColor rgb="FF008080"/>
      <rgbColor rgb="FFCCCCCC"/>
      <rgbColor rgb="FF888780"/>
      <rgbColor rgb="FF9999FF"/>
      <rgbColor rgb="FF993366"/>
      <rgbColor rgb="FFEAF3DE"/>
      <rgbColor rgb="FFD6EAF8"/>
      <rgbColor rgb="FF660066"/>
      <rgbColor rgb="FFFF8080"/>
      <rgbColor rgb="FF185FA5"/>
      <rgbColor rgb="FFCECBF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4FD"/>
      <rgbColor rgb="FFF2F8FF"/>
      <rgbColor rgb="FFFCEBEB"/>
      <rgbColor rgb="FF99CCFF"/>
      <rgbColor rgb="FFFF99CC"/>
      <rgbColor rgb="FFCC99FF"/>
      <rgbColor rgb="FFEEEDFE"/>
      <rgbColor rgb="FF3366FF"/>
      <rgbColor rgb="FF33CCCC"/>
      <rgbColor rgb="FF99CC00"/>
      <rgbColor rgb="FFFFCC00"/>
      <rgbColor rgb="FFFF9900"/>
      <rgbColor rgb="FFFF6600"/>
      <rgbColor rgb="FF534AB7"/>
      <rgbColor rgb="FF969696"/>
      <rgbColor rgb="FF1E3A5F"/>
      <rgbColor rgb="FF2E86AB"/>
      <rgbColor rgb="FF003300"/>
      <rgbColor rgb="FF333300"/>
      <rgbColor rgb="FFA32D2D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3" min="3" style="0" width="55"/>
    <col collapsed="false" customWidth="true" hidden="false" outlineLevel="0" max="4" min="4" style="0" width="20"/>
  </cols>
  <sheetData>
    <row r="2" customFormat="false" ht="34.5" hidden="false" customHeight="true" outlineLevel="0" collapsed="false">
      <c r="B2" s="1" t="s">
        <v>0</v>
      </c>
      <c r="C2" s="1"/>
      <c r="D2" s="1"/>
    </row>
    <row r="3" customFormat="false" ht="15" hidden="false" customHeight="false" outlineLevel="0" collapsed="false">
      <c r="B3" s="2" t="s">
        <v>1</v>
      </c>
      <c r="C3" s="2"/>
      <c r="D3" s="2"/>
    </row>
    <row r="5" customFormat="false" ht="15" hidden="false" customHeight="false" outlineLevel="0" collapsed="false">
      <c r="B5" s="3" t="s">
        <v>2</v>
      </c>
      <c r="C5" s="4"/>
      <c r="D5" s="4"/>
    </row>
    <row r="6" customFormat="false" ht="15" hidden="false" customHeight="false" outlineLevel="0" collapsed="false">
      <c r="B6" s="5" t="s">
        <v>3</v>
      </c>
      <c r="C6" s="6" t="s">
        <v>4</v>
      </c>
      <c r="D6" s="6"/>
    </row>
    <row r="7" customFormat="false" ht="15" hidden="false" customHeight="false" outlineLevel="0" collapsed="false">
      <c r="B7" s="7" t="s">
        <v>5</v>
      </c>
      <c r="C7" s="8" t="s">
        <v>6</v>
      </c>
      <c r="D7" s="8"/>
    </row>
    <row r="8" customFormat="false" ht="15" hidden="false" customHeight="false" outlineLevel="0" collapsed="false">
      <c r="B8" s="5" t="s">
        <v>7</v>
      </c>
      <c r="C8" s="6" t="s">
        <v>8</v>
      </c>
      <c r="D8" s="6"/>
    </row>
    <row r="9" customFormat="false" ht="15" hidden="false" customHeight="false" outlineLevel="0" collapsed="false">
      <c r="B9" s="7" t="s">
        <v>9</v>
      </c>
      <c r="C9" s="8" t="s">
        <v>10</v>
      </c>
      <c r="D9" s="8"/>
    </row>
    <row r="10" customFormat="false" ht="15" hidden="false" customHeight="false" outlineLevel="0" collapsed="false">
      <c r="B10" s="5" t="s">
        <v>11</v>
      </c>
      <c r="C10" s="6" t="s">
        <v>12</v>
      </c>
      <c r="D10" s="6"/>
    </row>
    <row r="11" customFormat="false" ht="15" hidden="false" customHeight="false" outlineLevel="0" collapsed="false">
      <c r="B11" s="7" t="s">
        <v>13</v>
      </c>
      <c r="C11" s="8" t="s">
        <v>14</v>
      </c>
      <c r="D11" s="8"/>
    </row>
    <row r="12" customFormat="false" ht="15" hidden="false" customHeight="false" outlineLevel="0" collapsed="false">
      <c r="B12" s="5" t="s">
        <v>15</v>
      </c>
      <c r="C12" s="6" t="s">
        <v>16</v>
      </c>
      <c r="D12" s="6"/>
    </row>
    <row r="13" customFormat="false" ht="15" hidden="false" customHeight="false" outlineLevel="0" collapsed="false">
      <c r="B13" s="7" t="s">
        <v>17</v>
      </c>
      <c r="C13" s="8" t="s">
        <v>18</v>
      </c>
      <c r="D13" s="8"/>
    </row>
    <row r="15" customFormat="false" ht="15" hidden="false" customHeight="false" outlineLevel="0" collapsed="false">
      <c r="B15" s="9" t="s">
        <v>19</v>
      </c>
      <c r="C15" s="9"/>
      <c r="D15" s="9"/>
    </row>
    <row r="16" customFormat="false" ht="15" hidden="false" customHeight="false" outlineLevel="0" collapsed="false">
      <c r="B16" s="10" t="s">
        <v>20</v>
      </c>
      <c r="C16" s="6" t="s">
        <v>21</v>
      </c>
      <c r="D16" s="6"/>
    </row>
    <row r="17" customFormat="false" ht="15" hidden="false" customHeight="false" outlineLevel="0" collapsed="false">
      <c r="B17" s="11" t="s">
        <v>22</v>
      </c>
      <c r="C17" s="8" t="s">
        <v>23</v>
      </c>
      <c r="D17" s="8"/>
    </row>
    <row r="18" customFormat="false" ht="15" hidden="false" customHeight="false" outlineLevel="0" collapsed="false">
      <c r="B18" s="10" t="s">
        <v>24</v>
      </c>
      <c r="C18" s="6" t="s">
        <v>25</v>
      </c>
      <c r="D18" s="6"/>
    </row>
    <row r="19" customFormat="false" ht="15" hidden="false" customHeight="false" outlineLevel="0" collapsed="false">
      <c r="B19" s="11" t="s">
        <v>26</v>
      </c>
      <c r="C19" s="8" t="s">
        <v>27</v>
      </c>
      <c r="D19" s="8"/>
    </row>
    <row r="20" customFormat="false" ht="15" hidden="false" customHeight="false" outlineLevel="0" collapsed="false">
      <c r="B20" s="10" t="s">
        <v>28</v>
      </c>
      <c r="C20" s="6" t="s">
        <v>29</v>
      </c>
      <c r="D20" s="6"/>
    </row>
  </sheetData>
  <mergeCells count="17">
    <mergeCell ref="B2:D2"/>
    <mergeCell ref="B3:D3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15:D15"/>
    <mergeCell ref="C16:D16"/>
    <mergeCell ref="C17:D17"/>
    <mergeCell ref="C18:D18"/>
    <mergeCell ref="C19:D19"/>
    <mergeCell ref="C20:D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8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12"/>
    <col collapsed="false" customWidth="true" hidden="false" outlineLevel="0" max="6" min="6" style="0" width="26"/>
    <col collapsed="false" customWidth="true" hidden="false" outlineLevel="0" max="7" min="7" style="0" width="38"/>
    <col collapsed="false" customWidth="true" hidden="false" outlineLevel="0" max="8" min="8" style="0" width="16"/>
    <col collapsed="false" customWidth="true" hidden="false" outlineLevel="0" max="9" min="9" style="0" width="28"/>
  </cols>
  <sheetData>
    <row r="1" customFormat="false" ht="21.75" hidden="false" customHeight="true" outlineLevel="0" collapsed="false">
      <c r="A1" s="12" t="s">
        <v>30</v>
      </c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35</v>
      </c>
      <c r="G1" s="12" t="s">
        <v>36</v>
      </c>
      <c r="H1" s="12" t="s">
        <v>37</v>
      </c>
      <c r="I1" s="12" t="s">
        <v>38</v>
      </c>
    </row>
    <row r="2" customFormat="false" ht="15" hidden="false" customHeight="false" outlineLevel="0" collapsed="false">
      <c r="A2" s="13" t="s">
        <v>39</v>
      </c>
      <c r="B2" s="14" t="n">
        <v>45658</v>
      </c>
      <c r="C2" s="15" t="s">
        <v>40</v>
      </c>
      <c r="D2" s="15" t="n">
        <v>2025</v>
      </c>
      <c r="E2" s="16" t="s">
        <v>41</v>
      </c>
      <c r="F2" s="13" t="s">
        <v>42</v>
      </c>
      <c r="G2" s="13" t="s">
        <v>43</v>
      </c>
      <c r="H2" s="17" t="n">
        <v>-1483.74</v>
      </c>
      <c r="I2" s="18"/>
    </row>
    <row r="3" customFormat="false" ht="15" hidden="false" customHeight="false" outlineLevel="0" collapsed="false">
      <c r="A3" s="19" t="s">
        <v>44</v>
      </c>
      <c r="B3" s="20" t="n">
        <v>45659</v>
      </c>
      <c r="C3" s="21" t="s">
        <v>40</v>
      </c>
      <c r="D3" s="21" t="n">
        <v>2025</v>
      </c>
      <c r="E3" s="22" t="s">
        <v>45</v>
      </c>
      <c r="F3" s="19" t="s">
        <v>46</v>
      </c>
      <c r="G3" s="19" t="s">
        <v>47</v>
      </c>
      <c r="H3" s="23" t="n">
        <v>2327.14</v>
      </c>
      <c r="I3" s="24"/>
    </row>
    <row r="4" customFormat="false" ht="15" hidden="false" customHeight="false" outlineLevel="0" collapsed="false">
      <c r="A4" s="13" t="s">
        <v>48</v>
      </c>
      <c r="B4" s="14" t="n">
        <v>45659</v>
      </c>
      <c r="C4" s="15" t="s">
        <v>40</v>
      </c>
      <c r="D4" s="15" t="n">
        <v>2025</v>
      </c>
      <c r="E4" s="16" t="s">
        <v>41</v>
      </c>
      <c r="F4" s="13" t="s">
        <v>49</v>
      </c>
      <c r="G4" s="13" t="s">
        <v>50</v>
      </c>
      <c r="H4" s="17" t="n">
        <v>-9732.48</v>
      </c>
      <c r="I4" s="18"/>
    </row>
    <row r="5" customFormat="false" ht="15" hidden="false" customHeight="false" outlineLevel="0" collapsed="false">
      <c r="A5" s="19" t="s">
        <v>51</v>
      </c>
      <c r="B5" s="20" t="n">
        <v>45660</v>
      </c>
      <c r="C5" s="21" t="s">
        <v>40</v>
      </c>
      <c r="D5" s="21" t="n">
        <v>2025</v>
      </c>
      <c r="E5" s="22" t="s">
        <v>45</v>
      </c>
      <c r="F5" s="19" t="s">
        <v>46</v>
      </c>
      <c r="G5" s="19" t="s">
        <v>47</v>
      </c>
      <c r="H5" s="23" t="n">
        <v>184.32</v>
      </c>
      <c r="I5" s="24"/>
    </row>
    <row r="6" customFormat="false" ht="15" hidden="false" customHeight="false" outlineLevel="0" collapsed="false">
      <c r="A6" s="13" t="s">
        <v>52</v>
      </c>
      <c r="B6" s="14" t="n">
        <v>45660</v>
      </c>
      <c r="C6" s="15" t="s">
        <v>40</v>
      </c>
      <c r="D6" s="15" t="n">
        <v>2025</v>
      </c>
      <c r="E6" s="16" t="s">
        <v>41</v>
      </c>
      <c r="F6" s="13" t="s">
        <v>53</v>
      </c>
      <c r="G6" s="13" t="s">
        <v>54</v>
      </c>
      <c r="H6" s="17" t="n">
        <v>-152.31</v>
      </c>
      <c r="I6" s="18"/>
    </row>
    <row r="7" customFormat="false" ht="15" hidden="false" customHeight="false" outlineLevel="0" collapsed="false">
      <c r="A7" s="19" t="s">
        <v>55</v>
      </c>
      <c r="B7" s="20" t="n">
        <v>45661</v>
      </c>
      <c r="C7" s="21" t="s">
        <v>40</v>
      </c>
      <c r="D7" s="21" t="n">
        <v>2025</v>
      </c>
      <c r="E7" s="22" t="s">
        <v>45</v>
      </c>
      <c r="F7" s="19" t="s">
        <v>46</v>
      </c>
      <c r="G7" s="19" t="s">
        <v>56</v>
      </c>
      <c r="H7" s="23" t="n">
        <v>242.99</v>
      </c>
      <c r="I7" s="24"/>
    </row>
    <row r="8" customFormat="false" ht="15" hidden="false" customHeight="false" outlineLevel="0" collapsed="false">
      <c r="A8" s="13" t="s">
        <v>57</v>
      </c>
      <c r="B8" s="14" t="n">
        <v>45661</v>
      </c>
      <c r="C8" s="15" t="s">
        <v>40</v>
      </c>
      <c r="D8" s="15" t="n">
        <v>2025</v>
      </c>
      <c r="E8" s="16" t="s">
        <v>41</v>
      </c>
      <c r="F8" s="13" t="s">
        <v>58</v>
      </c>
      <c r="G8" s="13" t="s">
        <v>59</v>
      </c>
      <c r="H8" s="17" t="n">
        <v>-2226.84</v>
      </c>
      <c r="I8" s="18"/>
    </row>
    <row r="9" customFormat="false" ht="15" hidden="false" customHeight="false" outlineLevel="0" collapsed="false">
      <c r="A9" s="19" t="s">
        <v>60</v>
      </c>
      <c r="B9" s="20" t="n">
        <v>45661</v>
      </c>
      <c r="C9" s="21" t="s">
        <v>40</v>
      </c>
      <c r="D9" s="21" t="n">
        <v>2025</v>
      </c>
      <c r="E9" s="16" t="s">
        <v>41</v>
      </c>
      <c r="F9" s="19" t="s">
        <v>61</v>
      </c>
      <c r="G9" s="19" t="s">
        <v>62</v>
      </c>
      <c r="H9" s="25" t="n">
        <v>-78.6</v>
      </c>
      <c r="I9" s="24"/>
    </row>
    <row r="10" customFormat="false" ht="15" hidden="false" customHeight="false" outlineLevel="0" collapsed="false">
      <c r="A10" s="13" t="s">
        <v>63</v>
      </c>
      <c r="B10" s="14" t="n">
        <v>45661</v>
      </c>
      <c r="C10" s="15" t="s">
        <v>40</v>
      </c>
      <c r="D10" s="15" t="n">
        <v>2025</v>
      </c>
      <c r="E10" s="16" t="s">
        <v>41</v>
      </c>
      <c r="F10" s="13" t="s">
        <v>64</v>
      </c>
      <c r="G10" s="13" t="s">
        <v>65</v>
      </c>
      <c r="H10" s="17" t="n">
        <v>-120.46</v>
      </c>
      <c r="I10" s="18"/>
    </row>
    <row r="11" customFormat="false" ht="15" hidden="false" customHeight="false" outlineLevel="0" collapsed="false">
      <c r="A11" s="19" t="s">
        <v>66</v>
      </c>
      <c r="B11" s="20" t="n">
        <v>45661</v>
      </c>
      <c r="C11" s="21" t="s">
        <v>40</v>
      </c>
      <c r="D11" s="21" t="n">
        <v>2025</v>
      </c>
      <c r="E11" s="16" t="s">
        <v>41</v>
      </c>
      <c r="F11" s="19" t="s">
        <v>67</v>
      </c>
      <c r="G11" s="19" t="s">
        <v>68</v>
      </c>
      <c r="H11" s="25" t="n">
        <v>-82.48</v>
      </c>
      <c r="I11" s="24"/>
    </row>
    <row r="12" customFormat="false" ht="15" hidden="false" customHeight="false" outlineLevel="0" collapsed="false">
      <c r="A12" s="13" t="s">
        <v>69</v>
      </c>
      <c r="B12" s="14" t="n">
        <v>45662</v>
      </c>
      <c r="C12" s="15" t="s">
        <v>40</v>
      </c>
      <c r="D12" s="15" t="n">
        <v>2025</v>
      </c>
      <c r="E12" s="22" t="s">
        <v>45</v>
      </c>
      <c r="F12" s="13" t="s">
        <v>46</v>
      </c>
      <c r="G12" s="13" t="s">
        <v>70</v>
      </c>
      <c r="H12" s="26" t="n">
        <v>1430.42</v>
      </c>
      <c r="I12" s="18"/>
    </row>
    <row r="13" customFormat="false" ht="15" hidden="false" customHeight="false" outlineLevel="0" collapsed="false">
      <c r="A13" s="19" t="s">
        <v>71</v>
      </c>
      <c r="B13" s="20" t="n">
        <v>45662</v>
      </c>
      <c r="C13" s="21" t="s">
        <v>40</v>
      </c>
      <c r="D13" s="21" t="n">
        <v>2025</v>
      </c>
      <c r="E13" s="22" t="s">
        <v>45</v>
      </c>
      <c r="F13" s="19" t="s">
        <v>46</v>
      </c>
      <c r="G13" s="19" t="s">
        <v>72</v>
      </c>
      <c r="H13" s="23" t="n">
        <v>501.04</v>
      </c>
      <c r="I13" s="24"/>
    </row>
    <row r="14" customFormat="false" ht="15" hidden="false" customHeight="false" outlineLevel="0" collapsed="false">
      <c r="A14" s="13" t="s">
        <v>73</v>
      </c>
      <c r="B14" s="14" t="n">
        <v>45662</v>
      </c>
      <c r="C14" s="15" t="s">
        <v>40</v>
      </c>
      <c r="D14" s="15" t="n">
        <v>2025</v>
      </c>
      <c r="E14" s="16" t="s">
        <v>41</v>
      </c>
      <c r="F14" s="13" t="s">
        <v>74</v>
      </c>
      <c r="G14" s="13" t="s">
        <v>75</v>
      </c>
      <c r="H14" s="17" t="n">
        <v>-295.19</v>
      </c>
      <c r="I14" s="18"/>
    </row>
    <row r="15" customFormat="false" ht="15" hidden="false" customHeight="false" outlineLevel="0" collapsed="false">
      <c r="A15" s="19" t="s">
        <v>76</v>
      </c>
      <c r="B15" s="20" t="n">
        <v>45663</v>
      </c>
      <c r="C15" s="21" t="s">
        <v>40</v>
      </c>
      <c r="D15" s="21" t="n">
        <v>2025</v>
      </c>
      <c r="E15" s="22" t="s">
        <v>45</v>
      </c>
      <c r="F15" s="19" t="s">
        <v>46</v>
      </c>
      <c r="G15" s="19" t="s">
        <v>77</v>
      </c>
      <c r="H15" s="23" t="n">
        <v>1128.18</v>
      </c>
      <c r="I15" s="24"/>
    </row>
    <row r="16" customFormat="false" ht="15" hidden="false" customHeight="false" outlineLevel="0" collapsed="false">
      <c r="A16" s="13" t="s">
        <v>78</v>
      </c>
      <c r="B16" s="14" t="n">
        <v>45663</v>
      </c>
      <c r="C16" s="15" t="s">
        <v>40</v>
      </c>
      <c r="D16" s="15" t="n">
        <v>2025</v>
      </c>
      <c r="E16" s="22" t="s">
        <v>45</v>
      </c>
      <c r="F16" s="13" t="s">
        <v>46</v>
      </c>
      <c r="G16" s="13" t="s">
        <v>79</v>
      </c>
      <c r="H16" s="26" t="n">
        <v>29.34</v>
      </c>
      <c r="I16" s="18"/>
    </row>
    <row r="17" customFormat="false" ht="15" hidden="false" customHeight="false" outlineLevel="0" collapsed="false">
      <c r="A17" s="19" t="s">
        <v>80</v>
      </c>
      <c r="B17" s="20" t="n">
        <v>45663</v>
      </c>
      <c r="C17" s="21" t="s">
        <v>40</v>
      </c>
      <c r="D17" s="21" t="n">
        <v>2025</v>
      </c>
      <c r="E17" s="22" t="s">
        <v>45</v>
      </c>
      <c r="F17" s="19" t="s">
        <v>46</v>
      </c>
      <c r="G17" s="19" t="s">
        <v>81</v>
      </c>
      <c r="H17" s="25" t="n">
        <v>-10.7</v>
      </c>
      <c r="I17" s="24"/>
    </row>
    <row r="18" customFormat="false" ht="15" hidden="false" customHeight="false" outlineLevel="0" collapsed="false">
      <c r="A18" s="13" t="s">
        <v>82</v>
      </c>
      <c r="B18" s="14" t="n">
        <v>45664</v>
      </c>
      <c r="C18" s="15" t="s">
        <v>40</v>
      </c>
      <c r="D18" s="15" t="n">
        <v>2025</v>
      </c>
      <c r="E18" s="16" t="s">
        <v>41</v>
      </c>
      <c r="F18" s="13" t="s">
        <v>83</v>
      </c>
      <c r="G18" s="13" t="s">
        <v>84</v>
      </c>
      <c r="H18" s="17" t="n">
        <v>-503.29</v>
      </c>
      <c r="I18" s="18"/>
    </row>
    <row r="19" customFormat="false" ht="15" hidden="false" customHeight="false" outlineLevel="0" collapsed="false">
      <c r="A19" s="19" t="s">
        <v>85</v>
      </c>
      <c r="B19" s="20" t="n">
        <v>45665</v>
      </c>
      <c r="C19" s="21" t="s">
        <v>40</v>
      </c>
      <c r="D19" s="21" t="n">
        <v>2025</v>
      </c>
      <c r="E19" s="22" t="s">
        <v>45</v>
      </c>
      <c r="F19" s="19" t="s">
        <v>46</v>
      </c>
      <c r="G19" s="19" t="s">
        <v>79</v>
      </c>
      <c r="H19" s="23" t="n">
        <v>472.11</v>
      </c>
      <c r="I19" s="24"/>
    </row>
    <row r="20" customFormat="false" ht="15" hidden="false" customHeight="false" outlineLevel="0" collapsed="false">
      <c r="A20" s="13" t="s">
        <v>86</v>
      </c>
      <c r="B20" s="14" t="n">
        <v>45665</v>
      </c>
      <c r="C20" s="15" t="s">
        <v>40</v>
      </c>
      <c r="D20" s="15" t="n">
        <v>2025</v>
      </c>
      <c r="E20" s="16" t="s">
        <v>41</v>
      </c>
      <c r="F20" s="13" t="s">
        <v>87</v>
      </c>
      <c r="G20" s="13" t="s">
        <v>88</v>
      </c>
      <c r="H20" s="17" t="n">
        <v>-197.59</v>
      </c>
      <c r="I20" s="18"/>
    </row>
    <row r="21" customFormat="false" ht="15" hidden="false" customHeight="false" outlineLevel="0" collapsed="false">
      <c r="A21" s="19" t="s">
        <v>89</v>
      </c>
      <c r="B21" s="20" t="n">
        <v>45665</v>
      </c>
      <c r="C21" s="21" t="s">
        <v>40</v>
      </c>
      <c r="D21" s="21" t="n">
        <v>2025</v>
      </c>
      <c r="E21" s="16" t="s">
        <v>41</v>
      </c>
      <c r="F21" s="19" t="s">
        <v>74</v>
      </c>
      <c r="G21" s="19" t="s">
        <v>90</v>
      </c>
      <c r="H21" s="25" t="n">
        <v>-91.99</v>
      </c>
      <c r="I21" s="24"/>
    </row>
    <row r="22" customFormat="false" ht="15" hidden="false" customHeight="false" outlineLevel="0" collapsed="false">
      <c r="A22" s="13" t="s">
        <v>91</v>
      </c>
      <c r="B22" s="14" t="n">
        <v>45666</v>
      </c>
      <c r="C22" s="15" t="s">
        <v>40</v>
      </c>
      <c r="D22" s="15" t="n">
        <v>2025</v>
      </c>
      <c r="E22" s="16" t="s">
        <v>41</v>
      </c>
      <c r="F22" s="13" t="s">
        <v>92</v>
      </c>
      <c r="G22" s="13" t="s">
        <v>93</v>
      </c>
      <c r="H22" s="17" t="n">
        <v>-121.06</v>
      </c>
      <c r="I22" s="18"/>
    </row>
    <row r="23" customFormat="false" ht="15" hidden="false" customHeight="false" outlineLevel="0" collapsed="false">
      <c r="A23" s="19" t="s">
        <v>94</v>
      </c>
      <c r="B23" s="20" t="n">
        <v>45668</v>
      </c>
      <c r="C23" s="21" t="s">
        <v>40</v>
      </c>
      <c r="D23" s="21" t="n">
        <v>2025</v>
      </c>
      <c r="E23" s="22" t="s">
        <v>45</v>
      </c>
      <c r="F23" s="19" t="s">
        <v>46</v>
      </c>
      <c r="G23" s="19" t="s">
        <v>70</v>
      </c>
      <c r="H23" s="23" t="n">
        <v>903.02</v>
      </c>
      <c r="I23" s="24"/>
    </row>
    <row r="24" customFormat="false" ht="15" hidden="false" customHeight="false" outlineLevel="0" collapsed="false">
      <c r="A24" s="13" t="s">
        <v>95</v>
      </c>
      <c r="B24" s="14" t="n">
        <v>45668</v>
      </c>
      <c r="C24" s="15" t="s">
        <v>40</v>
      </c>
      <c r="D24" s="15" t="n">
        <v>2025</v>
      </c>
      <c r="E24" s="16" t="s">
        <v>41</v>
      </c>
      <c r="F24" s="13" t="s">
        <v>83</v>
      </c>
      <c r="G24" s="13" t="s">
        <v>96</v>
      </c>
      <c r="H24" s="17" t="n">
        <v>-227.49</v>
      </c>
      <c r="I24" s="18"/>
    </row>
    <row r="25" customFormat="false" ht="15" hidden="false" customHeight="false" outlineLevel="0" collapsed="false">
      <c r="A25" s="19" t="s">
        <v>97</v>
      </c>
      <c r="B25" s="20" t="n">
        <v>45669</v>
      </c>
      <c r="C25" s="21" t="s">
        <v>40</v>
      </c>
      <c r="D25" s="21" t="n">
        <v>2025</v>
      </c>
      <c r="E25" s="22" t="s">
        <v>45</v>
      </c>
      <c r="F25" s="19" t="s">
        <v>46</v>
      </c>
      <c r="G25" s="19" t="s">
        <v>98</v>
      </c>
      <c r="H25" s="23" t="n">
        <v>174.03</v>
      </c>
      <c r="I25" s="24"/>
    </row>
    <row r="26" customFormat="false" ht="15" hidden="false" customHeight="false" outlineLevel="0" collapsed="false">
      <c r="A26" s="13" t="s">
        <v>99</v>
      </c>
      <c r="B26" s="14" t="n">
        <v>45669</v>
      </c>
      <c r="C26" s="15" t="s">
        <v>40</v>
      </c>
      <c r="D26" s="15" t="n">
        <v>2025</v>
      </c>
      <c r="E26" s="22" t="s">
        <v>45</v>
      </c>
      <c r="F26" s="13" t="s">
        <v>46</v>
      </c>
      <c r="G26" s="13" t="s">
        <v>72</v>
      </c>
      <c r="H26" s="26" t="n">
        <v>163.14</v>
      </c>
      <c r="I26" s="18"/>
    </row>
    <row r="27" customFormat="false" ht="15" hidden="false" customHeight="false" outlineLevel="0" collapsed="false">
      <c r="A27" s="19" t="s">
        <v>100</v>
      </c>
      <c r="B27" s="20" t="n">
        <v>45669</v>
      </c>
      <c r="C27" s="21" t="s">
        <v>40</v>
      </c>
      <c r="D27" s="21" t="n">
        <v>2025</v>
      </c>
      <c r="E27" s="16" t="s">
        <v>41</v>
      </c>
      <c r="F27" s="19" t="s">
        <v>74</v>
      </c>
      <c r="G27" s="19" t="s">
        <v>101</v>
      </c>
      <c r="H27" s="25" t="n">
        <v>-118.75</v>
      </c>
      <c r="I27" s="24"/>
    </row>
    <row r="28" customFormat="false" ht="15" hidden="false" customHeight="false" outlineLevel="0" collapsed="false">
      <c r="A28" s="13" t="s">
        <v>102</v>
      </c>
      <c r="B28" s="14" t="n">
        <v>45670</v>
      </c>
      <c r="C28" s="15" t="s">
        <v>40</v>
      </c>
      <c r="D28" s="15" t="n">
        <v>2025</v>
      </c>
      <c r="E28" s="22" t="s">
        <v>45</v>
      </c>
      <c r="F28" s="13" t="s">
        <v>46</v>
      </c>
      <c r="G28" s="13" t="s">
        <v>70</v>
      </c>
      <c r="H28" s="26" t="n">
        <v>261.83</v>
      </c>
      <c r="I28" s="18"/>
    </row>
    <row r="29" customFormat="false" ht="15" hidden="false" customHeight="false" outlineLevel="0" collapsed="false">
      <c r="A29" s="19" t="s">
        <v>103</v>
      </c>
      <c r="B29" s="20" t="n">
        <v>45670</v>
      </c>
      <c r="C29" s="21" t="s">
        <v>40</v>
      </c>
      <c r="D29" s="21" t="n">
        <v>2025</v>
      </c>
      <c r="E29" s="22" t="s">
        <v>45</v>
      </c>
      <c r="F29" s="19" t="s">
        <v>46</v>
      </c>
      <c r="G29" s="19" t="s">
        <v>104</v>
      </c>
      <c r="H29" s="23" t="n">
        <v>44.44</v>
      </c>
      <c r="I29" s="24"/>
    </row>
    <row r="30" customFormat="false" ht="15" hidden="false" customHeight="false" outlineLevel="0" collapsed="false">
      <c r="A30" s="13" t="s">
        <v>105</v>
      </c>
      <c r="B30" s="14" t="n">
        <v>45670</v>
      </c>
      <c r="C30" s="15" t="s">
        <v>40</v>
      </c>
      <c r="D30" s="15" t="n">
        <v>2025</v>
      </c>
      <c r="E30" s="22" t="s">
        <v>45</v>
      </c>
      <c r="F30" s="13" t="s">
        <v>46</v>
      </c>
      <c r="G30" s="13" t="s">
        <v>104</v>
      </c>
      <c r="H30" s="17" t="n">
        <v>-285.869999999998</v>
      </c>
      <c r="I30" s="18"/>
    </row>
    <row r="31" customFormat="false" ht="15" hidden="false" customHeight="false" outlineLevel="0" collapsed="false">
      <c r="A31" s="19" t="s">
        <v>106</v>
      </c>
      <c r="B31" s="20" t="n">
        <v>45671</v>
      </c>
      <c r="C31" s="21" t="s">
        <v>40</v>
      </c>
      <c r="D31" s="21" t="n">
        <v>2025</v>
      </c>
      <c r="E31" s="16" t="s">
        <v>41</v>
      </c>
      <c r="F31" s="19" t="s">
        <v>107</v>
      </c>
      <c r="G31" s="19" t="s">
        <v>108</v>
      </c>
      <c r="H31" s="25" t="n">
        <v>-20.96</v>
      </c>
      <c r="I31" s="24"/>
    </row>
    <row r="32" customFormat="false" ht="15" hidden="false" customHeight="false" outlineLevel="0" collapsed="false">
      <c r="A32" s="13" t="s">
        <v>109</v>
      </c>
      <c r="B32" s="14" t="n">
        <v>45672</v>
      </c>
      <c r="C32" s="15" t="s">
        <v>40</v>
      </c>
      <c r="D32" s="15" t="n">
        <v>2025</v>
      </c>
      <c r="E32" s="22" t="s">
        <v>45</v>
      </c>
      <c r="F32" s="13" t="s">
        <v>46</v>
      </c>
      <c r="G32" s="13" t="s">
        <v>98</v>
      </c>
      <c r="H32" s="26" t="n">
        <v>900.71</v>
      </c>
      <c r="I32" s="18"/>
    </row>
    <row r="33" customFormat="false" ht="15" hidden="false" customHeight="false" outlineLevel="0" collapsed="false">
      <c r="A33" s="19" t="s">
        <v>110</v>
      </c>
      <c r="B33" s="20" t="n">
        <v>45675</v>
      </c>
      <c r="C33" s="21" t="s">
        <v>40</v>
      </c>
      <c r="D33" s="21" t="n">
        <v>2025</v>
      </c>
      <c r="E33" s="22" t="s">
        <v>45</v>
      </c>
      <c r="F33" s="19" t="s">
        <v>46</v>
      </c>
      <c r="G33" s="19" t="s">
        <v>70</v>
      </c>
      <c r="H33" s="23" t="n">
        <v>3309.57</v>
      </c>
      <c r="I33" s="24"/>
    </row>
    <row r="34" customFormat="false" ht="15" hidden="false" customHeight="false" outlineLevel="0" collapsed="false">
      <c r="A34" s="13" t="s">
        <v>111</v>
      </c>
      <c r="B34" s="14" t="n">
        <v>45675</v>
      </c>
      <c r="C34" s="15" t="s">
        <v>40</v>
      </c>
      <c r="D34" s="15" t="n">
        <v>2025</v>
      </c>
      <c r="E34" s="22" t="s">
        <v>45</v>
      </c>
      <c r="F34" s="13" t="s">
        <v>46</v>
      </c>
      <c r="G34" s="13" t="s">
        <v>72</v>
      </c>
      <c r="H34" s="26" t="n">
        <v>1863.11</v>
      </c>
      <c r="I34" s="18"/>
    </row>
    <row r="35" customFormat="false" ht="15" hidden="false" customHeight="false" outlineLevel="0" collapsed="false">
      <c r="A35" s="19" t="s">
        <v>112</v>
      </c>
      <c r="B35" s="20" t="n">
        <v>45675</v>
      </c>
      <c r="C35" s="21" t="s">
        <v>40</v>
      </c>
      <c r="D35" s="21" t="n">
        <v>2025</v>
      </c>
      <c r="E35" s="16" t="s">
        <v>41</v>
      </c>
      <c r="F35" s="19" t="s">
        <v>87</v>
      </c>
      <c r="G35" s="19" t="s">
        <v>113</v>
      </c>
      <c r="H35" s="25" t="n">
        <v>-209.35</v>
      </c>
      <c r="I35" s="24"/>
    </row>
    <row r="36" customFormat="false" ht="15" hidden="false" customHeight="false" outlineLevel="0" collapsed="false">
      <c r="A36" s="13" t="s">
        <v>114</v>
      </c>
      <c r="B36" s="14" t="n">
        <v>45675</v>
      </c>
      <c r="C36" s="15" t="s">
        <v>40</v>
      </c>
      <c r="D36" s="15" t="n">
        <v>2025</v>
      </c>
      <c r="E36" s="16" t="s">
        <v>41</v>
      </c>
      <c r="F36" s="13" t="s">
        <v>87</v>
      </c>
      <c r="G36" s="13" t="s">
        <v>115</v>
      </c>
      <c r="H36" s="17" t="n">
        <v>-584.48</v>
      </c>
      <c r="I36" s="18"/>
    </row>
    <row r="37" customFormat="false" ht="15" hidden="false" customHeight="false" outlineLevel="0" collapsed="false">
      <c r="A37" s="19" t="s">
        <v>116</v>
      </c>
      <c r="B37" s="20" t="n">
        <v>45677</v>
      </c>
      <c r="C37" s="21" t="s">
        <v>40</v>
      </c>
      <c r="D37" s="21" t="n">
        <v>2025</v>
      </c>
      <c r="E37" s="22" t="s">
        <v>45</v>
      </c>
      <c r="F37" s="19" t="s">
        <v>46</v>
      </c>
      <c r="G37" s="19" t="s">
        <v>104</v>
      </c>
      <c r="H37" s="23" t="n">
        <v>531.07</v>
      </c>
      <c r="I37" s="24"/>
    </row>
    <row r="38" customFormat="false" ht="15" hidden="false" customHeight="false" outlineLevel="0" collapsed="false">
      <c r="A38" s="13" t="s">
        <v>117</v>
      </c>
      <c r="B38" s="14" t="n">
        <v>45677</v>
      </c>
      <c r="C38" s="15" t="s">
        <v>40</v>
      </c>
      <c r="D38" s="15" t="n">
        <v>2025</v>
      </c>
      <c r="E38" s="16" t="s">
        <v>41</v>
      </c>
      <c r="F38" s="13" t="s">
        <v>107</v>
      </c>
      <c r="G38" s="13" t="s">
        <v>118</v>
      </c>
      <c r="H38" s="17" t="n">
        <v>-96.26</v>
      </c>
      <c r="I38" s="18"/>
    </row>
    <row r="39" customFormat="false" ht="15" hidden="false" customHeight="false" outlineLevel="0" collapsed="false">
      <c r="A39" s="19" t="s">
        <v>119</v>
      </c>
      <c r="B39" s="20" t="n">
        <v>45679</v>
      </c>
      <c r="C39" s="21" t="s">
        <v>40</v>
      </c>
      <c r="D39" s="21" t="n">
        <v>2025</v>
      </c>
      <c r="E39" s="16" t="s">
        <v>41</v>
      </c>
      <c r="F39" s="19" t="s">
        <v>107</v>
      </c>
      <c r="G39" s="19" t="s">
        <v>120</v>
      </c>
      <c r="H39" s="25" t="n">
        <v>-19.27</v>
      </c>
      <c r="I39" s="24"/>
    </row>
    <row r="40" customFormat="false" ht="15" hidden="false" customHeight="false" outlineLevel="0" collapsed="false">
      <c r="A40" s="13" t="s">
        <v>121</v>
      </c>
      <c r="B40" s="14" t="n">
        <v>45679</v>
      </c>
      <c r="C40" s="15" t="s">
        <v>40</v>
      </c>
      <c r="D40" s="15" t="n">
        <v>2025</v>
      </c>
      <c r="E40" s="16" t="s">
        <v>41</v>
      </c>
      <c r="F40" s="13" t="s">
        <v>67</v>
      </c>
      <c r="G40" s="13" t="s">
        <v>122</v>
      </c>
      <c r="H40" s="17" t="n">
        <v>-153.72</v>
      </c>
      <c r="I40" s="18"/>
    </row>
    <row r="41" customFormat="false" ht="15" hidden="false" customHeight="false" outlineLevel="0" collapsed="false">
      <c r="A41" s="19" t="s">
        <v>123</v>
      </c>
      <c r="B41" s="20" t="n">
        <v>45680</v>
      </c>
      <c r="C41" s="21" t="s">
        <v>40</v>
      </c>
      <c r="D41" s="21" t="n">
        <v>2025</v>
      </c>
      <c r="E41" s="22" t="s">
        <v>45</v>
      </c>
      <c r="F41" s="19" t="s">
        <v>46</v>
      </c>
      <c r="G41" s="19" t="s">
        <v>79</v>
      </c>
      <c r="H41" s="23" t="n">
        <v>1777.83</v>
      </c>
      <c r="I41" s="24"/>
    </row>
    <row r="42" customFormat="false" ht="15" hidden="false" customHeight="false" outlineLevel="0" collapsed="false">
      <c r="A42" s="13" t="s">
        <v>124</v>
      </c>
      <c r="B42" s="14" t="n">
        <v>45680</v>
      </c>
      <c r="C42" s="15" t="s">
        <v>40</v>
      </c>
      <c r="D42" s="15" t="n">
        <v>2025</v>
      </c>
      <c r="E42" s="22" t="s">
        <v>45</v>
      </c>
      <c r="F42" s="13" t="s">
        <v>46</v>
      </c>
      <c r="G42" s="13" t="s">
        <v>70</v>
      </c>
      <c r="H42" s="26" t="n">
        <v>15.32</v>
      </c>
      <c r="I42" s="18"/>
    </row>
    <row r="43" customFormat="false" ht="15" hidden="false" customHeight="false" outlineLevel="0" collapsed="false">
      <c r="A43" s="19" t="s">
        <v>125</v>
      </c>
      <c r="B43" s="20" t="n">
        <v>45680</v>
      </c>
      <c r="C43" s="21" t="s">
        <v>40</v>
      </c>
      <c r="D43" s="21" t="n">
        <v>2025</v>
      </c>
      <c r="E43" s="16" t="s">
        <v>41</v>
      </c>
      <c r="F43" s="19" t="s">
        <v>83</v>
      </c>
      <c r="G43" s="19" t="s">
        <v>126</v>
      </c>
      <c r="H43" s="25" t="n">
        <v>-105.53</v>
      </c>
      <c r="I43" s="24"/>
    </row>
    <row r="44" customFormat="false" ht="15" hidden="false" customHeight="false" outlineLevel="0" collapsed="false">
      <c r="A44" s="13" t="s">
        <v>127</v>
      </c>
      <c r="B44" s="14" t="n">
        <v>45681</v>
      </c>
      <c r="C44" s="15" t="s">
        <v>40</v>
      </c>
      <c r="D44" s="15" t="n">
        <v>2025</v>
      </c>
      <c r="E44" s="22" t="s">
        <v>45</v>
      </c>
      <c r="F44" s="13" t="s">
        <v>46</v>
      </c>
      <c r="G44" s="13" t="s">
        <v>104</v>
      </c>
      <c r="H44" s="26" t="n">
        <v>785.6</v>
      </c>
      <c r="I44" s="18"/>
    </row>
    <row r="45" customFormat="false" ht="15" hidden="false" customHeight="false" outlineLevel="0" collapsed="false">
      <c r="A45" s="19" t="s">
        <v>128</v>
      </c>
      <c r="B45" s="20" t="n">
        <v>45681</v>
      </c>
      <c r="C45" s="21" t="s">
        <v>40</v>
      </c>
      <c r="D45" s="21" t="n">
        <v>2025</v>
      </c>
      <c r="E45" s="22" t="s">
        <v>45</v>
      </c>
      <c r="F45" s="19" t="s">
        <v>46</v>
      </c>
      <c r="G45" s="19" t="s">
        <v>81</v>
      </c>
      <c r="H45" s="23" t="n">
        <v>386.7</v>
      </c>
      <c r="I45" s="24"/>
    </row>
    <row r="46" customFormat="false" ht="15" hidden="false" customHeight="false" outlineLevel="0" collapsed="false">
      <c r="A46" s="13" t="s">
        <v>129</v>
      </c>
      <c r="B46" s="14" t="n">
        <v>45681</v>
      </c>
      <c r="C46" s="15" t="s">
        <v>40</v>
      </c>
      <c r="D46" s="15" t="n">
        <v>2025</v>
      </c>
      <c r="E46" s="16" t="s">
        <v>41</v>
      </c>
      <c r="F46" s="13" t="s">
        <v>87</v>
      </c>
      <c r="G46" s="13" t="s">
        <v>130</v>
      </c>
      <c r="H46" s="17" t="n">
        <v>-294.11</v>
      </c>
      <c r="I46" s="18"/>
    </row>
    <row r="47" customFormat="false" ht="15" hidden="false" customHeight="false" outlineLevel="0" collapsed="false">
      <c r="A47" s="19" t="s">
        <v>131</v>
      </c>
      <c r="B47" s="20" t="n">
        <v>45681</v>
      </c>
      <c r="C47" s="21" t="s">
        <v>40</v>
      </c>
      <c r="D47" s="21" t="n">
        <v>2025</v>
      </c>
      <c r="E47" s="16" t="s">
        <v>41</v>
      </c>
      <c r="F47" s="19" t="s">
        <v>67</v>
      </c>
      <c r="G47" s="19" t="s">
        <v>132</v>
      </c>
      <c r="H47" s="25" t="n">
        <v>-88.44</v>
      </c>
      <c r="I47" s="24"/>
    </row>
    <row r="48" customFormat="false" ht="15" hidden="false" customHeight="false" outlineLevel="0" collapsed="false">
      <c r="A48" s="13" t="s">
        <v>133</v>
      </c>
      <c r="B48" s="14" t="n">
        <v>45681</v>
      </c>
      <c r="C48" s="15" t="s">
        <v>40</v>
      </c>
      <c r="D48" s="15" t="n">
        <v>2025</v>
      </c>
      <c r="E48" s="16" t="s">
        <v>41</v>
      </c>
      <c r="F48" s="13" t="s">
        <v>92</v>
      </c>
      <c r="G48" s="13" t="s">
        <v>134</v>
      </c>
      <c r="H48" s="17" t="n">
        <v>-28.02</v>
      </c>
      <c r="I48" s="18"/>
    </row>
    <row r="49" customFormat="false" ht="15" hidden="false" customHeight="false" outlineLevel="0" collapsed="false">
      <c r="A49" s="19" t="s">
        <v>135</v>
      </c>
      <c r="B49" s="20" t="n">
        <v>45681</v>
      </c>
      <c r="C49" s="21" t="s">
        <v>40</v>
      </c>
      <c r="D49" s="21" t="n">
        <v>2025</v>
      </c>
      <c r="E49" s="16" t="s">
        <v>41</v>
      </c>
      <c r="F49" s="19" t="s">
        <v>92</v>
      </c>
      <c r="G49" s="19" t="s">
        <v>136</v>
      </c>
      <c r="H49" s="25" t="n">
        <v>-39.65</v>
      </c>
      <c r="I49" s="24"/>
    </row>
    <row r="50" customFormat="false" ht="15" hidden="false" customHeight="false" outlineLevel="0" collapsed="false">
      <c r="A50" s="13" t="s">
        <v>137</v>
      </c>
      <c r="B50" s="14" t="n">
        <v>45682</v>
      </c>
      <c r="C50" s="15" t="s">
        <v>40</v>
      </c>
      <c r="D50" s="15" t="n">
        <v>2025</v>
      </c>
      <c r="E50" s="22" t="s">
        <v>45</v>
      </c>
      <c r="F50" s="13" t="s">
        <v>46</v>
      </c>
      <c r="G50" s="13" t="s">
        <v>104</v>
      </c>
      <c r="H50" s="26" t="n">
        <v>109.52</v>
      </c>
      <c r="I50" s="18"/>
    </row>
    <row r="51" customFormat="false" ht="15" hidden="false" customHeight="false" outlineLevel="0" collapsed="false">
      <c r="A51" s="19" t="s">
        <v>138</v>
      </c>
      <c r="B51" s="20" t="n">
        <v>45682</v>
      </c>
      <c r="C51" s="21" t="s">
        <v>40</v>
      </c>
      <c r="D51" s="21" t="n">
        <v>2025</v>
      </c>
      <c r="E51" s="16" t="s">
        <v>41</v>
      </c>
      <c r="F51" s="19" t="s">
        <v>49</v>
      </c>
      <c r="G51" s="19" t="s">
        <v>139</v>
      </c>
      <c r="H51" s="25" t="n">
        <v>-3445.77</v>
      </c>
      <c r="I51" s="24"/>
    </row>
    <row r="52" customFormat="false" ht="15" hidden="false" customHeight="false" outlineLevel="0" collapsed="false">
      <c r="A52" s="13" t="s">
        <v>140</v>
      </c>
      <c r="B52" s="14" t="n">
        <v>45683</v>
      </c>
      <c r="C52" s="15" t="s">
        <v>40</v>
      </c>
      <c r="D52" s="15" t="n">
        <v>2025</v>
      </c>
      <c r="E52" s="16" t="s">
        <v>41</v>
      </c>
      <c r="F52" s="13" t="s">
        <v>107</v>
      </c>
      <c r="G52" s="13" t="s">
        <v>141</v>
      </c>
      <c r="H52" s="17" t="n">
        <v>-20.45</v>
      </c>
      <c r="I52" s="18"/>
    </row>
    <row r="53" customFormat="false" ht="15" hidden="false" customHeight="false" outlineLevel="0" collapsed="false">
      <c r="A53" s="19" t="s">
        <v>142</v>
      </c>
      <c r="B53" s="20" t="n">
        <v>45684</v>
      </c>
      <c r="C53" s="21" t="s">
        <v>40</v>
      </c>
      <c r="D53" s="21" t="n">
        <v>2025</v>
      </c>
      <c r="E53" s="22" t="s">
        <v>45</v>
      </c>
      <c r="F53" s="19" t="s">
        <v>46</v>
      </c>
      <c r="G53" s="19" t="s">
        <v>98</v>
      </c>
      <c r="H53" s="23" t="n">
        <v>220.29</v>
      </c>
      <c r="I53" s="24"/>
    </row>
    <row r="54" customFormat="false" ht="15" hidden="false" customHeight="false" outlineLevel="0" collapsed="false">
      <c r="A54" s="13" t="s">
        <v>143</v>
      </c>
      <c r="B54" s="14" t="n">
        <v>45684</v>
      </c>
      <c r="C54" s="15" t="s">
        <v>40</v>
      </c>
      <c r="D54" s="15" t="n">
        <v>2025</v>
      </c>
      <c r="E54" s="22" t="s">
        <v>45</v>
      </c>
      <c r="F54" s="13" t="s">
        <v>46</v>
      </c>
      <c r="G54" s="13" t="s">
        <v>56</v>
      </c>
      <c r="H54" s="26" t="n">
        <v>112.55</v>
      </c>
      <c r="I54" s="18"/>
    </row>
    <row r="55" customFormat="false" ht="15" hidden="false" customHeight="false" outlineLevel="0" collapsed="false">
      <c r="A55" s="19" t="s">
        <v>144</v>
      </c>
      <c r="B55" s="20" t="n">
        <v>45685</v>
      </c>
      <c r="C55" s="21" t="s">
        <v>40</v>
      </c>
      <c r="D55" s="21" t="n">
        <v>2025</v>
      </c>
      <c r="E55" s="22" t="s">
        <v>45</v>
      </c>
      <c r="F55" s="19" t="s">
        <v>46</v>
      </c>
      <c r="G55" s="19" t="s">
        <v>47</v>
      </c>
      <c r="H55" s="23" t="n">
        <v>589.48</v>
      </c>
      <c r="I55" s="24"/>
    </row>
    <row r="56" customFormat="false" ht="15" hidden="false" customHeight="false" outlineLevel="0" collapsed="false">
      <c r="A56" s="13" t="s">
        <v>145</v>
      </c>
      <c r="B56" s="14" t="n">
        <v>45685</v>
      </c>
      <c r="C56" s="15" t="s">
        <v>40</v>
      </c>
      <c r="D56" s="15" t="n">
        <v>2025</v>
      </c>
      <c r="E56" s="22" t="s">
        <v>45</v>
      </c>
      <c r="F56" s="13" t="s">
        <v>46</v>
      </c>
      <c r="G56" s="13" t="s">
        <v>72</v>
      </c>
      <c r="H56" s="26" t="n">
        <v>32.82</v>
      </c>
      <c r="I56" s="18"/>
    </row>
    <row r="57" customFormat="false" ht="15" hidden="false" customHeight="false" outlineLevel="0" collapsed="false">
      <c r="A57" s="19" t="s">
        <v>146</v>
      </c>
      <c r="B57" s="20" t="n">
        <v>45689</v>
      </c>
      <c r="C57" s="21" t="s">
        <v>147</v>
      </c>
      <c r="D57" s="21" t="n">
        <v>2025</v>
      </c>
      <c r="E57" s="16" t="s">
        <v>41</v>
      </c>
      <c r="F57" s="19" t="s">
        <v>42</v>
      </c>
      <c r="G57" s="19" t="s">
        <v>148</v>
      </c>
      <c r="H57" s="25" t="n">
        <v>-1494.67</v>
      </c>
      <c r="I57" s="24"/>
    </row>
    <row r="58" customFormat="false" ht="15" hidden="false" customHeight="false" outlineLevel="0" collapsed="false">
      <c r="A58" s="13" t="s">
        <v>149</v>
      </c>
      <c r="B58" s="14" t="n">
        <v>45689</v>
      </c>
      <c r="C58" s="15" t="s">
        <v>147</v>
      </c>
      <c r="D58" s="15" t="n">
        <v>2025</v>
      </c>
      <c r="E58" s="16" t="s">
        <v>41</v>
      </c>
      <c r="F58" s="13" t="s">
        <v>58</v>
      </c>
      <c r="G58" s="13" t="s">
        <v>150</v>
      </c>
      <c r="H58" s="17" t="n">
        <v>-2215.26</v>
      </c>
      <c r="I58" s="18"/>
    </row>
    <row r="59" customFormat="false" ht="15" hidden="false" customHeight="false" outlineLevel="0" collapsed="false">
      <c r="A59" s="19" t="s">
        <v>151</v>
      </c>
      <c r="B59" s="20" t="n">
        <v>45689</v>
      </c>
      <c r="C59" s="21" t="s">
        <v>147</v>
      </c>
      <c r="D59" s="21" t="n">
        <v>2025</v>
      </c>
      <c r="E59" s="16" t="s">
        <v>41</v>
      </c>
      <c r="F59" s="19" t="s">
        <v>61</v>
      </c>
      <c r="G59" s="19" t="s">
        <v>152</v>
      </c>
      <c r="H59" s="25" t="n">
        <v>-81.08</v>
      </c>
      <c r="I59" s="24"/>
    </row>
    <row r="60" customFormat="false" ht="15" hidden="false" customHeight="false" outlineLevel="0" collapsed="false">
      <c r="A60" s="13" t="s">
        <v>153</v>
      </c>
      <c r="B60" s="14" t="n">
        <v>45690</v>
      </c>
      <c r="C60" s="15" t="s">
        <v>147</v>
      </c>
      <c r="D60" s="15" t="n">
        <v>2025</v>
      </c>
      <c r="E60" s="22" t="s">
        <v>45</v>
      </c>
      <c r="F60" s="13" t="s">
        <v>46</v>
      </c>
      <c r="G60" s="13" t="s">
        <v>56</v>
      </c>
      <c r="H60" s="26" t="n">
        <v>114.61</v>
      </c>
      <c r="I60" s="18"/>
    </row>
    <row r="61" customFormat="false" ht="15" hidden="false" customHeight="false" outlineLevel="0" collapsed="false">
      <c r="A61" s="19" t="s">
        <v>154</v>
      </c>
      <c r="B61" s="20" t="n">
        <v>45690</v>
      </c>
      <c r="C61" s="21" t="s">
        <v>147</v>
      </c>
      <c r="D61" s="21" t="n">
        <v>2025</v>
      </c>
      <c r="E61" s="16" t="s">
        <v>41</v>
      </c>
      <c r="F61" s="19" t="s">
        <v>64</v>
      </c>
      <c r="G61" s="19" t="s">
        <v>155</v>
      </c>
      <c r="H61" s="25" t="n">
        <v>-122.05</v>
      </c>
      <c r="I61" s="24"/>
    </row>
    <row r="62" customFormat="false" ht="15" hidden="false" customHeight="false" outlineLevel="0" collapsed="false">
      <c r="A62" s="13" t="s">
        <v>156</v>
      </c>
      <c r="B62" s="14" t="n">
        <v>45690</v>
      </c>
      <c r="C62" s="15" t="s">
        <v>147</v>
      </c>
      <c r="D62" s="15" t="n">
        <v>2025</v>
      </c>
      <c r="E62" s="16" t="s">
        <v>41</v>
      </c>
      <c r="F62" s="13" t="s">
        <v>53</v>
      </c>
      <c r="G62" s="13" t="s">
        <v>157</v>
      </c>
      <c r="H62" s="17" t="n">
        <v>-152.41</v>
      </c>
      <c r="I62" s="18"/>
    </row>
    <row r="63" customFormat="false" ht="15" hidden="false" customHeight="false" outlineLevel="0" collapsed="false">
      <c r="A63" s="19" t="s">
        <v>158</v>
      </c>
      <c r="B63" s="20" t="n">
        <v>45691</v>
      </c>
      <c r="C63" s="21" t="s">
        <v>147</v>
      </c>
      <c r="D63" s="21" t="n">
        <v>2025</v>
      </c>
      <c r="E63" s="22" t="s">
        <v>45</v>
      </c>
      <c r="F63" s="19" t="s">
        <v>46</v>
      </c>
      <c r="G63" s="19" t="s">
        <v>81</v>
      </c>
      <c r="H63" s="23" t="n">
        <v>645.44</v>
      </c>
      <c r="I63" s="24"/>
    </row>
    <row r="64" customFormat="false" ht="15" hidden="false" customHeight="false" outlineLevel="0" collapsed="false">
      <c r="A64" s="13" t="s">
        <v>159</v>
      </c>
      <c r="B64" s="14" t="n">
        <v>45691</v>
      </c>
      <c r="C64" s="15" t="s">
        <v>147</v>
      </c>
      <c r="D64" s="15" t="n">
        <v>2025</v>
      </c>
      <c r="E64" s="16" t="s">
        <v>41</v>
      </c>
      <c r="F64" s="13" t="s">
        <v>74</v>
      </c>
      <c r="G64" s="13" t="s">
        <v>101</v>
      </c>
      <c r="H64" s="17" t="n">
        <v>-67.78</v>
      </c>
      <c r="I64" s="18"/>
    </row>
    <row r="65" customFormat="false" ht="15" hidden="false" customHeight="false" outlineLevel="0" collapsed="false">
      <c r="A65" s="19" t="s">
        <v>160</v>
      </c>
      <c r="B65" s="20" t="n">
        <v>45692</v>
      </c>
      <c r="C65" s="21" t="s">
        <v>147</v>
      </c>
      <c r="D65" s="21" t="n">
        <v>2025</v>
      </c>
      <c r="E65" s="22" t="s">
        <v>45</v>
      </c>
      <c r="F65" s="19" t="s">
        <v>46</v>
      </c>
      <c r="G65" s="19" t="s">
        <v>56</v>
      </c>
      <c r="H65" s="23" t="n">
        <v>725.29</v>
      </c>
      <c r="I65" s="24"/>
    </row>
    <row r="66" customFormat="false" ht="15" hidden="false" customHeight="false" outlineLevel="0" collapsed="false">
      <c r="A66" s="13" t="s">
        <v>161</v>
      </c>
      <c r="B66" s="14" t="n">
        <v>45693</v>
      </c>
      <c r="C66" s="15" t="s">
        <v>147</v>
      </c>
      <c r="D66" s="15" t="n">
        <v>2025</v>
      </c>
      <c r="E66" s="22" t="s">
        <v>45</v>
      </c>
      <c r="F66" s="13" t="s">
        <v>46</v>
      </c>
      <c r="G66" s="13" t="s">
        <v>56</v>
      </c>
      <c r="H66" s="26" t="n">
        <v>1816.35</v>
      </c>
      <c r="I66" s="18"/>
    </row>
    <row r="67" customFormat="false" ht="15" hidden="false" customHeight="false" outlineLevel="0" collapsed="false">
      <c r="A67" s="19" t="s">
        <v>162</v>
      </c>
      <c r="B67" s="20" t="n">
        <v>45693</v>
      </c>
      <c r="C67" s="21" t="s">
        <v>147</v>
      </c>
      <c r="D67" s="21" t="n">
        <v>2025</v>
      </c>
      <c r="E67" s="22" t="s">
        <v>45</v>
      </c>
      <c r="F67" s="19" t="s">
        <v>46</v>
      </c>
      <c r="G67" s="19" t="s">
        <v>81</v>
      </c>
      <c r="H67" s="23" t="n">
        <v>314.12</v>
      </c>
      <c r="I67" s="24"/>
    </row>
    <row r="68" customFormat="false" ht="15" hidden="false" customHeight="false" outlineLevel="0" collapsed="false">
      <c r="A68" s="13" t="s">
        <v>163</v>
      </c>
      <c r="B68" s="14" t="n">
        <v>45694</v>
      </c>
      <c r="C68" s="15" t="s">
        <v>147</v>
      </c>
      <c r="D68" s="15" t="n">
        <v>2025</v>
      </c>
      <c r="E68" s="22" t="s">
        <v>45</v>
      </c>
      <c r="F68" s="13" t="s">
        <v>46</v>
      </c>
      <c r="G68" s="13" t="s">
        <v>104</v>
      </c>
      <c r="H68" s="26" t="n">
        <v>251.86</v>
      </c>
      <c r="I68" s="18"/>
    </row>
    <row r="69" customFormat="false" ht="15" hidden="false" customHeight="false" outlineLevel="0" collapsed="false">
      <c r="A69" s="19" t="s">
        <v>164</v>
      </c>
      <c r="B69" s="20" t="n">
        <v>45695</v>
      </c>
      <c r="C69" s="21" t="s">
        <v>147</v>
      </c>
      <c r="D69" s="21" t="n">
        <v>2025</v>
      </c>
      <c r="E69" s="22" t="s">
        <v>45</v>
      </c>
      <c r="F69" s="19" t="s">
        <v>46</v>
      </c>
      <c r="G69" s="19" t="s">
        <v>79</v>
      </c>
      <c r="H69" s="25" t="n">
        <v>-106.86</v>
      </c>
      <c r="I69" s="24"/>
    </row>
    <row r="70" customFormat="false" ht="15" hidden="false" customHeight="false" outlineLevel="0" collapsed="false">
      <c r="A70" s="13" t="s">
        <v>165</v>
      </c>
      <c r="B70" s="14" t="n">
        <v>45695</v>
      </c>
      <c r="C70" s="15" t="s">
        <v>147</v>
      </c>
      <c r="D70" s="15" t="n">
        <v>2025</v>
      </c>
      <c r="E70" s="16" t="s">
        <v>41</v>
      </c>
      <c r="F70" s="13" t="s">
        <v>87</v>
      </c>
      <c r="G70" s="13" t="s">
        <v>166</v>
      </c>
      <c r="H70" s="17" t="n">
        <v>-580.96</v>
      </c>
      <c r="I70" s="18"/>
    </row>
    <row r="71" customFormat="false" ht="15" hidden="false" customHeight="false" outlineLevel="0" collapsed="false">
      <c r="A71" s="19" t="s">
        <v>167</v>
      </c>
      <c r="B71" s="20" t="n">
        <v>45696</v>
      </c>
      <c r="C71" s="21" t="s">
        <v>147</v>
      </c>
      <c r="D71" s="21" t="n">
        <v>2025</v>
      </c>
      <c r="E71" s="22" t="s">
        <v>45</v>
      </c>
      <c r="F71" s="19" t="s">
        <v>46</v>
      </c>
      <c r="G71" s="19" t="s">
        <v>98</v>
      </c>
      <c r="H71" s="23" t="n">
        <v>336.84</v>
      </c>
      <c r="I71" s="24"/>
    </row>
    <row r="72" customFormat="false" ht="15" hidden="false" customHeight="false" outlineLevel="0" collapsed="false">
      <c r="A72" s="13" t="s">
        <v>168</v>
      </c>
      <c r="B72" s="14" t="n">
        <v>45696</v>
      </c>
      <c r="C72" s="15" t="s">
        <v>147</v>
      </c>
      <c r="D72" s="15" t="n">
        <v>2025</v>
      </c>
      <c r="E72" s="22" t="s">
        <v>45</v>
      </c>
      <c r="F72" s="13" t="s">
        <v>46</v>
      </c>
      <c r="G72" s="13" t="s">
        <v>70</v>
      </c>
      <c r="H72" s="26" t="n">
        <v>176.93</v>
      </c>
      <c r="I72" s="18"/>
    </row>
    <row r="73" customFormat="false" ht="15" hidden="false" customHeight="false" outlineLevel="0" collapsed="false">
      <c r="A73" s="19" t="s">
        <v>169</v>
      </c>
      <c r="B73" s="20" t="n">
        <v>45696</v>
      </c>
      <c r="C73" s="21" t="s">
        <v>147</v>
      </c>
      <c r="D73" s="21" t="n">
        <v>2025</v>
      </c>
      <c r="E73" s="22" t="s">
        <v>45</v>
      </c>
      <c r="F73" s="19" t="s">
        <v>46</v>
      </c>
      <c r="G73" s="19" t="s">
        <v>47</v>
      </c>
      <c r="H73" s="23" t="n">
        <v>135.79</v>
      </c>
      <c r="I73" s="24"/>
    </row>
    <row r="74" customFormat="false" ht="15" hidden="false" customHeight="false" outlineLevel="0" collapsed="false">
      <c r="A74" s="13" t="s">
        <v>170</v>
      </c>
      <c r="B74" s="14" t="n">
        <v>45696</v>
      </c>
      <c r="C74" s="15" t="s">
        <v>147</v>
      </c>
      <c r="D74" s="15" t="n">
        <v>2025</v>
      </c>
      <c r="E74" s="22" t="s">
        <v>45</v>
      </c>
      <c r="F74" s="13" t="s">
        <v>46</v>
      </c>
      <c r="G74" s="13" t="s">
        <v>104</v>
      </c>
      <c r="H74" s="26" t="n">
        <v>171.14</v>
      </c>
      <c r="I74" s="18"/>
    </row>
    <row r="75" customFormat="false" ht="15" hidden="false" customHeight="false" outlineLevel="0" collapsed="false">
      <c r="A75" s="19" t="s">
        <v>171</v>
      </c>
      <c r="B75" s="20" t="n">
        <v>45698</v>
      </c>
      <c r="C75" s="21" t="s">
        <v>147</v>
      </c>
      <c r="D75" s="21" t="n">
        <v>2025</v>
      </c>
      <c r="E75" s="22" t="s">
        <v>45</v>
      </c>
      <c r="F75" s="19" t="s">
        <v>46</v>
      </c>
      <c r="G75" s="19" t="s">
        <v>79</v>
      </c>
      <c r="H75" s="23" t="n">
        <v>3397.96</v>
      </c>
      <c r="I75" s="24"/>
    </row>
    <row r="76" customFormat="false" ht="15" hidden="false" customHeight="false" outlineLevel="0" collapsed="false">
      <c r="A76" s="13" t="s">
        <v>172</v>
      </c>
      <c r="B76" s="14" t="n">
        <v>45698</v>
      </c>
      <c r="C76" s="15" t="s">
        <v>147</v>
      </c>
      <c r="D76" s="15" t="n">
        <v>2025</v>
      </c>
      <c r="E76" s="16" t="s">
        <v>41</v>
      </c>
      <c r="F76" s="13" t="s">
        <v>92</v>
      </c>
      <c r="G76" s="13" t="s">
        <v>134</v>
      </c>
      <c r="H76" s="17" t="n">
        <v>-24.08</v>
      </c>
      <c r="I76" s="18"/>
    </row>
    <row r="77" customFormat="false" ht="15" hidden="false" customHeight="false" outlineLevel="0" collapsed="false">
      <c r="A77" s="19" t="s">
        <v>173</v>
      </c>
      <c r="B77" s="20" t="n">
        <v>45699</v>
      </c>
      <c r="C77" s="21" t="s">
        <v>147</v>
      </c>
      <c r="D77" s="21" t="n">
        <v>2025</v>
      </c>
      <c r="E77" s="16" t="s">
        <v>41</v>
      </c>
      <c r="F77" s="19" t="s">
        <v>83</v>
      </c>
      <c r="G77" s="19" t="s">
        <v>174</v>
      </c>
      <c r="H77" s="25" t="n">
        <v>-475.64</v>
      </c>
      <c r="I77" s="24"/>
    </row>
    <row r="78" customFormat="false" ht="15" hidden="false" customHeight="false" outlineLevel="0" collapsed="false">
      <c r="A78" s="13" t="s">
        <v>175</v>
      </c>
      <c r="B78" s="14" t="n">
        <v>45700</v>
      </c>
      <c r="C78" s="15" t="s">
        <v>147</v>
      </c>
      <c r="D78" s="15" t="n">
        <v>2025</v>
      </c>
      <c r="E78" s="16" t="s">
        <v>41</v>
      </c>
      <c r="F78" s="13" t="s">
        <v>49</v>
      </c>
      <c r="G78" s="13" t="s">
        <v>139</v>
      </c>
      <c r="H78" s="17" t="n">
        <v>-1940.53</v>
      </c>
      <c r="I78" s="18"/>
    </row>
    <row r="79" customFormat="false" ht="15" hidden="false" customHeight="false" outlineLevel="0" collapsed="false">
      <c r="A79" s="19" t="s">
        <v>176</v>
      </c>
      <c r="B79" s="20" t="n">
        <v>45701</v>
      </c>
      <c r="C79" s="21" t="s">
        <v>147</v>
      </c>
      <c r="D79" s="21" t="n">
        <v>2025</v>
      </c>
      <c r="E79" s="22" t="s">
        <v>45</v>
      </c>
      <c r="F79" s="19" t="s">
        <v>46</v>
      </c>
      <c r="G79" s="19" t="s">
        <v>56</v>
      </c>
      <c r="H79" s="23" t="n">
        <v>117.96</v>
      </c>
      <c r="I79" s="24"/>
    </row>
    <row r="80" customFormat="false" ht="15" hidden="false" customHeight="false" outlineLevel="0" collapsed="false">
      <c r="A80" s="13" t="s">
        <v>177</v>
      </c>
      <c r="B80" s="14" t="n">
        <v>45701</v>
      </c>
      <c r="C80" s="15" t="s">
        <v>147</v>
      </c>
      <c r="D80" s="15" t="n">
        <v>2025</v>
      </c>
      <c r="E80" s="16" t="s">
        <v>41</v>
      </c>
      <c r="F80" s="13" t="s">
        <v>67</v>
      </c>
      <c r="G80" s="13" t="s">
        <v>68</v>
      </c>
      <c r="H80" s="17" t="n">
        <v>-183.33</v>
      </c>
      <c r="I80" s="18"/>
    </row>
    <row r="81" customFormat="false" ht="15" hidden="false" customHeight="false" outlineLevel="0" collapsed="false">
      <c r="A81" s="19" t="s">
        <v>178</v>
      </c>
      <c r="B81" s="20" t="n">
        <v>45702</v>
      </c>
      <c r="C81" s="21" t="s">
        <v>147</v>
      </c>
      <c r="D81" s="21" t="n">
        <v>2025</v>
      </c>
      <c r="E81" s="16" t="s">
        <v>41</v>
      </c>
      <c r="F81" s="19" t="s">
        <v>49</v>
      </c>
      <c r="G81" s="19" t="s">
        <v>50</v>
      </c>
      <c r="H81" s="25" t="n">
        <v>-9185.47</v>
      </c>
      <c r="I81" s="24"/>
    </row>
    <row r="82" customFormat="false" ht="15" hidden="false" customHeight="false" outlineLevel="0" collapsed="false">
      <c r="A82" s="13" t="s">
        <v>179</v>
      </c>
      <c r="B82" s="14" t="n">
        <v>45702</v>
      </c>
      <c r="C82" s="15" t="s">
        <v>147</v>
      </c>
      <c r="D82" s="15" t="n">
        <v>2025</v>
      </c>
      <c r="E82" s="16" t="s">
        <v>41</v>
      </c>
      <c r="F82" s="13" t="s">
        <v>92</v>
      </c>
      <c r="G82" s="13" t="s">
        <v>136</v>
      </c>
      <c r="H82" s="17" t="n">
        <v>-38.06</v>
      </c>
      <c r="I82" s="18"/>
    </row>
    <row r="83" customFormat="false" ht="15" hidden="false" customHeight="false" outlineLevel="0" collapsed="false">
      <c r="A83" s="19" t="s">
        <v>180</v>
      </c>
      <c r="B83" s="20" t="n">
        <v>45703</v>
      </c>
      <c r="C83" s="21" t="s">
        <v>147</v>
      </c>
      <c r="D83" s="21" t="n">
        <v>2025</v>
      </c>
      <c r="E83" s="16" t="s">
        <v>41</v>
      </c>
      <c r="F83" s="19" t="s">
        <v>74</v>
      </c>
      <c r="G83" s="19" t="s">
        <v>90</v>
      </c>
      <c r="H83" s="25" t="n">
        <v>-71.41</v>
      </c>
      <c r="I83" s="24"/>
    </row>
    <row r="84" customFormat="false" ht="15" hidden="false" customHeight="false" outlineLevel="0" collapsed="false">
      <c r="A84" s="13" t="s">
        <v>181</v>
      </c>
      <c r="B84" s="14" t="n">
        <v>45705</v>
      </c>
      <c r="C84" s="15" t="s">
        <v>147</v>
      </c>
      <c r="D84" s="15" t="n">
        <v>2025</v>
      </c>
      <c r="E84" s="22" t="s">
        <v>45</v>
      </c>
      <c r="F84" s="13" t="s">
        <v>46</v>
      </c>
      <c r="G84" s="13" t="s">
        <v>70</v>
      </c>
      <c r="H84" s="26" t="n">
        <v>3887.9</v>
      </c>
      <c r="I84" s="18"/>
    </row>
    <row r="85" customFormat="false" ht="15" hidden="false" customHeight="false" outlineLevel="0" collapsed="false">
      <c r="A85" s="19" t="s">
        <v>182</v>
      </c>
      <c r="B85" s="20" t="n">
        <v>45705</v>
      </c>
      <c r="C85" s="21" t="s">
        <v>147</v>
      </c>
      <c r="D85" s="21" t="n">
        <v>2025</v>
      </c>
      <c r="E85" s="22" t="s">
        <v>45</v>
      </c>
      <c r="F85" s="19" t="s">
        <v>46</v>
      </c>
      <c r="G85" s="19" t="s">
        <v>81</v>
      </c>
      <c r="H85" s="23" t="n">
        <v>134.08</v>
      </c>
      <c r="I85" s="24"/>
    </row>
    <row r="86" customFormat="false" ht="15" hidden="false" customHeight="false" outlineLevel="0" collapsed="false">
      <c r="A86" s="13" t="s">
        <v>183</v>
      </c>
      <c r="B86" s="14" t="n">
        <v>45706</v>
      </c>
      <c r="C86" s="15" t="s">
        <v>147</v>
      </c>
      <c r="D86" s="15" t="n">
        <v>2025</v>
      </c>
      <c r="E86" s="22" t="s">
        <v>45</v>
      </c>
      <c r="F86" s="13" t="s">
        <v>46</v>
      </c>
      <c r="G86" s="13" t="s">
        <v>79</v>
      </c>
      <c r="H86" s="26" t="n">
        <v>1808.39</v>
      </c>
      <c r="I86" s="18"/>
    </row>
    <row r="87" customFormat="false" ht="15" hidden="false" customHeight="false" outlineLevel="0" collapsed="false">
      <c r="A87" s="19" t="s">
        <v>184</v>
      </c>
      <c r="B87" s="20" t="n">
        <v>45706</v>
      </c>
      <c r="C87" s="21" t="s">
        <v>147</v>
      </c>
      <c r="D87" s="21" t="n">
        <v>2025</v>
      </c>
      <c r="E87" s="22" t="s">
        <v>45</v>
      </c>
      <c r="F87" s="19" t="s">
        <v>46</v>
      </c>
      <c r="G87" s="19" t="s">
        <v>72</v>
      </c>
      <c r="H87" s="23" t="n">
        <v>125.27</v>
      </c>
      <c r="I87" s="24"/>
    </row>
    <row r="88" customFormat="false" ht="15" hidden="false" customHeight="false" outlineLevel="0" collapsed="false">
      <c r="A88" s="13" t="s">
        <v>185</v>
      </c>
      <c r="B88" s="14" t="n">
        <v>45706</v>
      </c>
      <c r="C88" s="15" t="s">
        <v>147</v>
      </c>
      <c r="D88" s="15" t="n">
        <v>2025</v>
      </c>
      <c r="E88" s="16" t="s">
        <v>41</v>
      </c>
      <c r="F88" s="13" t="s">
        <v>107</v>
      </c>
      <c r="G88" s="13" t="s">
        <v>186</v>
      </c>
      <c r="H88" s="17" t="n">
        <v>-78.09</v>
      </c>
      <c r="I88" s="18"/>
    </row>
    <row r="89" customFormat="false" ht="15" hidden="false" customHeight="false" outlineLevel="0" collapsed="false">
      <c r="A89" s="19" t="s">
        <v>187</v>
      </c>
      <c r="B89" s="20" t="n">
        <v>45707</v>
      </c>
      <c r="C89" s="21" t="s">
        <v>147</v>
      </c>
      <c r="D89" s="21" t="n">
        <v>2025</v>
      </c>
      <c r="E89" s="22" t="s">
        <v>45</v>
      </c>
      <c r="F89" s="19" t="s">
        <v>46</v>
      </c>
      <c r="G89" s="19" t="s">
        <v>79</v>
      </c>
      <c r="H89" s="23" t="n">
        <v>117.59</v>
      </c>
      <c r="I89" s="24"/>
    </row>
    <row r="90" customFormat="false" ht="15" hidden="false" customHeight="false" outlineLevel="0" collapsed="false">
      <c r="A90" s="13" t="s">
        <v>188</v>
      </c>
      <c r="B90" s="14" t="n">
        <v>45707</v>
      </c>
      <c r="C90" s="15" t="s">
        <v>147</v>
      </c>
      <c r="D90" s="15" t="n">
        <v>2025</v>
      </c>
      <c r="E90" s="22" t="s">
        <v>45</v>
      </c>
      <c r="F90" s="13" t="s">
        <v>46</v>
      </c>
      <c r="G90" s="13" t="s">
        <v>98</v>
      </c>
      <c r="H90" s="26" t="n">
        <v>143.55</v>
      </c>
      <c r="I90" s="18"/>
    </row>
    <row r="91" customFormat="false" ht="15" hidden="false" customHeight="false" outlineLevel="0" collapsed="false">
      <c r="A91" s="19" t="s">
        <v>189</v>
      </c>
      <c r="B91" s="20" t="n">
        <v>45708</v>
      </c>
      <c r="C91" s="21" t="s">
        <v>147</v>
      </c>
      <c r="D91" s="21" t="n">
        <v>2025</v>
      </c>
      <c r="E91" s="22" t="s">
        <v>45</v>
      </c>
      <c r="F91" s="19" t="s">
        <v>46</v>
      </c>
      <c r="G91" s="19" t="s">
        <v>56</v>
      </c>
      <c r="H91" s="23" t="n">
        <v>1639.11</v>
      </c>
      <c r="I91" s="24"/>
    </row>
    <row r="92" customFormat="false" ht="15" hidden="false" customHeight="false" outlineLevel="0" collapsed="false">
      <c r="A92" s="13" t="s">
        <v>190</v>
      </c>
      <c r="B92" s="14" t="n">
        <v>45708</v>
      </c>
      <c r="C92" s="15" t="s">
        <v>147</v>
      </c>
      <c r="D92" s="15" t="n">
        <v>2025</v>
      </c>
      <c r="E92" s="22" t="s">
        <v>45</v>
      </c>
      <c r="F92" s="13" t="s">
        <v>46</v>
      </c>
      <c r="G92" s="13" t="s">
        <v>77</v>
      </c>
      <c r="H92" s="26" t="n">
        <v>189.03</v>
      </c>
      <c r="I92" s="18"/>
    </row>
    <row r="93" customFormat="false" ht="15" hidden="false" customHeight="false" outlineLevel="0" collapsed="false">
      <c r="A93" s="19" t="s">
        <v>191</v>
      </c>
      <c r="B93" s="20" t="n">
        <v>45709</v>
      </c>
      <c r="C93" s="21" t="s">
        <v>147</v>
      </c>
      <c r="D93" s="21" t="n">
        <v>2025</v>
      </c>
      <c r="E93" s="22" t="s">
        <v>45</v>
      </c>
      <c r="F93" s="19" t="s">
        <v>46</v>
      </c>
      <c r="G93" s="19" t="s">
        <v>47</v>
      </c>
      <c r="H93" s="23" t="n">
        <v>177.3</v>
      </c>
      <c r="I93" s="24"/>
    </row>
    <row r="94" customFormat="false" ht="15" hidden="false" customHeight="false" outlineLevel="0" collapsed="false">
      <c r="A94" s="13" t="s">
        <v>192</v>
      </c>
      <c r="B94" s="14" t="n">
        <v>45711</v>
      </c>
      <c r="C94" s="15" t="s">
        <v>147</v>
      </c>
      <c r="D94" s="15" t="n">
        <v>2025</v>
      </c>
      <c r="E94" s="16" t="s">
        <v>41</v>
      </c>
      <c r="F94" s="13" t="s">
        <v>92</v>
      </c>
      <c r="G94" s="13" t="s">
        <v>93</v>
      </c>
      <c r="H94" s="17" t="n">
        <v>-57.35</v>
      </c>
      <c r="I94" s="18"/>
    </row>
    <row r="95" customFormat="false" ht="15" hidden="false" customHeight="false" outlineLevel="0" collapsed="false">
      <c r="A95" s="19" t="s">
        <v>193</v>
      </c>
      <c r="B95" s="20" t="n">
        <v>45712</v>
      </c>
      <c r="C95" s="21" t="s">
        <v>147</v>
      </c>
      <c r="D95" s="21" t="n">
        <v>2025</v>
      </c>
      <c r="E95" s="16" t="s">
        <v>41</v>
      </c>
      <c r="F95" s="19" t="s">
        <v>92</v>
      </c>
      <c r="G95" s="19" t="s">
        <v>194</v>
      </c>
      <c r="H95" s="25" t="n">
        <v>-134.98</v>
      </c>
      <c r="I95" s="24"/>
    </row>
    <row r="96" customFormat="false" ht="15" hidden="false" customHeight="false" outlineLevel="0" collapsed="false">
      <c r="A96" s="13" t="s">
        <v>195</v>
      </c>
      <c r="B96" s="14" t="n">
        <v>45713</v>
      </c>
      <c r="C96" s="15" t="s">
        <v>147</v>
      </c>
      <c r="D96" s="15" t="n">
        <v>2025</v>
      </c>
      <c r="E96" s="22" t="s">
        <v>45</v>
      </c>
      <c r="F96" s="13" t="s">
        <v>46</v>
      </c>
      <c r="G96" s="13" t="s">
        <v>79</v>
      </c>
      <c r="H96" s="26" t="n">
        <v>425.85</v>
      </c>
      <c r="I96" s="18"/>
    </row>
    <row r="97" customFormat="false" ht="15" hidden="false" customHeight="false" outlineLevel="0" collapsed="false">
      <c r="A97" s="19" t="s">
        <v>196</v>
      </c>
      <c r="B97" s="20" t="n">
        <v>45714</v>
      </c>
      <c r="C97" s="21" t="s">
        <v>147</v>
      </c>
      <c r="D97" s="21" t="n">
        <v>2025</v>
      </c>
      <c r="E97" s="22" t="s">
        <v>45</v>
      </c>
      <c r="F97" s="19" t="s">
        <v>46</v>
      </c>
      <c r="G97" s="19" t="s">
        <v>81</v>
      </c>
      <c r="H97" s="25" t="n">
        <v>-22.01</v>
      </c>
      <c r="I97" s="24"/>
    </row>
    <row r="98" customFormat="false" ht="15" hidden="false" customHeight="false" outlineLevel="0" collapsed="false">
      <c r="A98" s="13" t="s">
        <v>197</v>
      </c>
      <c r="B98" s="14" t="n">
        <v>45714</v>
      </c>
      <c r="C98" s="15" t="s">
        <v>147</v>
      </c>
      <c r="D98" s="15" t="n">
        <v>2025</v>
      </c>
      <c r="E98" s="22" t="s">
        <v>45</v>
      </c>
      <c r="F98" s="13" t="s">
        <v>46</v>
      </c>
      <c r="G98" s="13" t="s">
        <v>77</v>
      </c>
      <c r="H98" s="17" t="n">
        <v>-876.990000000001</v>
      </c>
      <c r="I98" s="18"/>
    </row>
    <row r="99" customFormat="false" ht="15" hidden="false" customHeight="false" outlineLevel="0" collapsed="false">
      <c r="A99" s="19" t="s">
        <v>198</v>
      </c>
      <c r="B99" s="20" t="n">
        <v>45714</v>
      </c>
      <c r="C99" s="21" t="s">
        <v>147</v>
      </c>
      <c r="D99" s="21" t="n">
        <v>2025</v>
      </c>
      <c r="E99" s="16" t="s">
        <v>41</v>
      </c>
      <c r="F99" s="19" t="s">
        <v>74</v>
      </c>
      <c r="G99" s="19" t="s">
        <v>75</v>
      </c>
      <c r="H99" s="25" t="n">
        <v>-94.86</v>
      </c>
      <c r="I99" s="24"/>
    </row>
    <row r="100" customFormat="false" ht="15" hidden="false" customHeight="false" outlineLevel="0" collapsed="false">
      <c r="A100" s="13" t="s">
        <v>199</v>
      </c>
      <c r="B100" s="14" t="n">
        <v>45715</v>
      </c>
      <c r="C100" s="15" t="s">
        <v>147</v>
      </c>
      <c r="D100" s="15" t="n">
        <v>2025</v>
      </c>
      <c r="E100" s="22" t="s">
        <v>45</v>
      </c>
      <c r="F100" s="13" t="s">
        <v>46</v>
      </c>
      <c r="G100" s="13" t="s">
        <v>104</v>
      </c>
      <c r="H100" s="26" t="n">
        <v>953.5</v>
      </c>
      <c r="I100" s="18"/>
    </row>
    <row r="101" customFormat="false" ht="15" hidden="false" customHeight="false" outlineLevel="0" collapsed="false">
      <c r="A101" s="19" t="s">
        <v>200</v>
      </c>
      <c r="B101" s="20" t="n">
        <v>45716</v>
      </c>
      <c r="C101" s="21" t="s">
        <v>147</v>
      </c>
      <c r="D101" s="21" t="n">
        <v>2025</v>
      </c>
      <c r="E101" s="16" t="s">
        <v>41</v>
      </c>
      <c r="F101" s="19" t="s">
        <v>74</v>
      </c>
      <c r="G101" s="19" t="s">
        <v>201</v>
      </c>
      <c r="H101" s="25" t="n">
        <v>-323.7</v>
      </c>
      <c r="I101" s="24"/>
    </row>
    <row r="102" customFormat="false" ht="15" hidden="false" customHeight="false" outlineLevel="0" collapsed="false">
      <c r="A102" s="13" t="s">
        <v>202</v>
      </c>
      <c r="B102" s="14" t="n">
        <v>45716</v>
      </c>
      <c r="C102" s="15" t="s">
        <v>147</v>
      </c>
      <c r="D102" s="15" t="n">
        <v>2025</v>
      </c>
      <c r="E102" s="16" t="s">
        <v>41</v>
      </c>
      <c r="F102" s="13" t="s">
        <v>67</v>
      </c>
      <c r="G102" s="13" t="s">
        <v>132</v>
      </c>
      <c r="H102" s="17" t="n">
        <v>-57.95</v>
      </c>
      <c r="I102" s="18"/>
    </row>
    <row r="103" customFormat="false" ht="15" hidden="false" customHeight="false" outlineLevel="0" collapsed="false">
      <c r="A103" s="19" t="s">
        <v>203</v>
      </c>
      <c r="B103" s="20" t="n">
        <v>45717</v>
      </c>
      <c r="C103" s="21" t="s">
        <v>204</v>
      </c>
      <c r="D103" s="21" t="n">
        <v>2025</v>
      </c>
      <c r="E103" s="16" t="s">
        <v>41</v>
      </c>
      <c r="F103" s="19" t="s">
        <v>42</v>
      </c>
      <c r="G103" s="19" t="s">
        <v>205</v>
      </c>
      <c r="H103" s="25" t="n">
        <v>-1485.07</v>
      </c>
      <c r="I103" s="24"/>
    </row>
    <row r="104" customFormat="false" ht="15" hidden="false" customHeight="false" outlineLevel="0" collapsed="false">
      <c r="A104" s="13" t="s">
        <v>206</v>
      </c>
      <c r="B104" s="14" t="n">
        <v>45717</v>
      </c>
      <c r="C104" s="15" t="s">
        <v>204</v>
      </c>
      <c r="D104" s="15" t="n">
        <v>2025</v>
      </c>
      <c r="E104" s="16" t="s">
        <v>41</v>
      </c>
      <c r="F104" s="13" t="s">
        <v>61</v>
      </c>
      <c r="G104" s="13" t="s">
        <v>207</v>
      </c>
      <c r="H104" s="17" t="n">
        <v>-80.58</v>
      </c>
      <c r="I104" s="18"/>
    </row>
    <row r="105" customFormat="false" ht="15" hidden="false" customHeight="false" outlineLevel="0" collapsed="false">
      <c r="A105" s="19" t="s">
        <v>208</v>
      </c>
      <c r="B105" s="20" t="n">
        <v>45717</v>
      </c>
      <c r="C105" s="21" t="s">
        <v>204</v>
      </c>
      <c r="D105" s="21" t="n">
        <v>2025</v>
      </c>
      <c r="E105" s="16" t="s">
        <v>41</v>
      </c>
      <c r="F105" s="19" t="s">
        <v>53</v>
      </c>
      <c r="G105" s="19" t="s">
        <v>209</v>
      </c>
      <c r="H105" s="25" t="n">
        <v>-152.29</v>
      </c>
      <c r="I105" s="24"/>
    </row>
    <row r="106" customFormat="false" ht="15" hidden="false" customHeight="false" outlineLevel="0" collapsed="false">
      <c r="A106" s="13" t="s">
        <v>210</v>
      </c>
      <c r="B106" s="14" t="n">
        <v>45718</v>
      </c>
      <c r="C106" s="15" t="s">
        <v>204</v>
      </c>
      <c r="D106" s="15" t="n">
        <v>2025</v>
      </c>
      <c r="E106" s="22" t="s">
        <v>45</v>
      </c>
      <c r="F106" s="13" t="s">
        <v>46</v>
      </c>
      <c r="G106" s="13" t="s">
        <v>98</v>
      </c>
      <c r="H106" s="26" t="n">
        <v>806.15</v>
      </c>
      <c r="I106" s="18"/>
    </row>
    <row r="107" customFormat="false" ht="15" hidden="false" customHeight="false" outlineLevel="0" collapsed="false">
      <c r="A107" s="19" t="s">
        <v>211</v>
      </c>
      <c r="B107" s="20" t="n">
        <v>45718</v>
      </c>
      <c r="C107" s="21" t="s">
        <v>204</v>
      </c>
      <c r="D107" s="21" t="n">
        <v>2025</v>
      </c>
      <c r="E107" s="16" t="s">
        <v>41</v>
      </c>
      <c r="F107" s="19" t="s">
        <v>87</v>
      </c>
      <c r="G107" s="19" t="s">
        <v>115</v>
      </c>
      <c r="H107" s="25" t="n">
        <v>-543.33</v>
      </c>
      <c r="I107" s="24"/>
    </row>
    <row r="108" customFormat="false" ht="15" hidden="false" customHeight="false" outlineLevel="0" collapsed="false">
      <c r="A108" s="13" t="s">
        <v>212</v>
      </c>
      <c r="B108" s="14" t="n">
        <v>45719</v>
      </c>
      <c r="C108" s="15" t="s">
        <v>204</v>
      </c>
      <c r="D108" s="15" t="n">
        <v>2025</v>
      </c>
      <c r="E108" s="22" t="s">
        <v>45</v>
      </c>
      <c r="F108" s="13" t="s">
        <v>46</v>
      </c>
      <c r="G108" s="13" t="s">
        <v>98</v>
      </c>
      <c r="H108" s="26" t="n">
        <v>1808.8</v>
      </c>
      <c r="I108" s="18"/>
    </row>
    <row r="109" customFormat="false" ht="15" hidden="false" customHeight="false" outlineLevel="0" collapsed="false">
      <c r="A109" s="19" t="s">
        <v>213</v>
      </c>
      <c r="B109" s="20" t="n">
        <v>45719</v>
      </c>
      <c r="C109" s="21" t="s">
        <v>204</v>
      </c>
      <c r="D109" s="21" t="n">
        <v>2025</v>
      </c>
      <c r="E109" s="22" t="s">
        <v>45</v>
      </c>
      <c r="F109" s="19" t="s">
        <v>46</v>
      </c>
      <c r="G109" s="19" t="s">
        <v>79</v>
      </c>
      <c r="H109" s="23" t="n">
        <v>282.98</v>
      </c>
      <c r="I109" s="24"/>
    </row>
    <row r="110" customFormat="false" ht="15" hidden="false" customHeight="false" outlineLevel="0" collapsed="false">
      <c r="A110" s="13" t="s">
        <v>214</v>
      </c>
      <c r="B110" s="14" t="n">
        <v>45719</v>
      </c>
      <c r="C110" s="15" t="s">
        <v>204</v>
      </c>
      <c r="D110" s="15" t="n">
        <v>2025</v>
      </c>
      <c r="E110" s="22" t="s">
        <v>45</v>
      </c>
      <c r="F110" s="13" t="s">
        <v>46</v>
      </c>
      <c r="G110" s="13" t="s">
        <v>72</v>
      </c>
      <c r="H110" s="26" t="n">
        <v>142.61</v>
      </c>
      <c r="I110" s="18"/>
    </row>
    <row r="111" customFormat="false" ht="15" hidden="false" customHeight="false" outlineLevel="0" collapsed="false">
      <c r="A111" s="19" t="s">
        <v>215</v>
      </c>
      <c r="B111" s="20" t="n">
        <v>45720</v>
      </c>
      <c r="C111" s="21" t="s">
        <v>204</v>
      </c>
      <c r="D111" s="21" t="n">
        <v>2025</v>
      </c>
      <c r="E111" s="22" t="s">
        <v>45</v>
      </c>
      <c r="F111" s="19" t="s">
        <v>46</v>
      </c>
      <c r="G111" s="19" t="s">
        <v>79</v>
      </c>
      <c r="H111" s="23" t="n">
        <v>168.33</v>
      </c>
      <c r="I111" s="24"/>
    </row>
    <row r="112" customFormat="false" ht="15" hidden="false" customHeight="false" outlineLevel="0" collapsed="false">
      <c r="A112" s="13" t="s">
        <v>216</v>
      </c>
      <c r="B112" s="14" t="n">
        <v>45720</v>
      </c>
      <c r="C112" s="15" t="s">
        <v>204</v>
      </c>
      <c r="D112" s="15" t="n">
        <v>2025</v>
      </c>
      <c r="E112" s="16" t="s">
        <v>41</v>
      </c>
      <c r="F112" s="13" t="s">
        <v>58</v>
      </c>
      <c r="G112" s="13" t="s">
        <v>217</v>
      </c>
      <c r="H112" s="17" t="n">
        <v>-2164.12</v>
      </c>
      <c r="I112" s="18"/>
    </row>
    <row r="113" customFormat="false" ht="15" hidden="false" customHeight="false" outlineLevel="0" collapsed="false">
      <c r="A113" s="19" t="s">
        <v>218</v>
      </c>
      <c r="B113" s="20" t="n">
        <v>45721</v>
      </c>
      <c r="C113" s="21" t="s">
        <v>204</v>
      </c>
      <c r="D113" s="21" t="n">
        <v>2025</v>
      </c>
      <c r="E113" s="22" t="s">
        <v>45</v>
      </c>
      <c r="F113" s="19" t="s">
        <v>46</v>
      </c>
      <c r="G113" s="19" t="s">
        <v>104</v>
      </c>
      <c r="H113" s="25" t="n">
        <v>-80.26</v>
      </c>
      <c r="I113" s="24"/>
    </row>
    <row r="114" customFormat="false" ht="15" hidden="false" customHeight="false" outlineLevel="0" collapsed="false">
      <c r="A114" s="13" t="s">
        <v>219</v>
      </c>
      <c r="B114" s="14" t="n">
        <v>45721</v>
      </c>
      <c r="C114" s="15" t="s">
        <v>204</v>
      </c>
      <c r="D114" s="15" t="n">
        <v>2025</v>
      </c>
      <c r="E114" s="16" t="s">
        <v>41</v>
      </c>
      <c r="F114" s="13" t="s">
        <v>87</v>
      </c>
      <c r="G114" s="13" t="s">
        <v>130</v>
      </c>
      <c r="H114" s="17" t="n">
        <v>-203.55</v>
      </c>
      <c r="I114" s="18"/>
    </row>
    <row r="115" customFormat="false" ht="15" hidden="false" customHeight="false" outlineLevel="0" collapsed="false">
      <c r="A115" s="19" t="s">
        <v>220</v>
      </c>
      <c r="B115" s="20" t="n">
        <v>45721</v>
      </c>
      <c r="C115" s="21" t="s">
        <v>204</v>
      </c>
      <c r="D115" s="21" t="n">
        <v>2025</v>
      </c>
      <c r="E115" s="16" t="s">
        <v>41</v>
      </c>
      <c r="F115" s="19" t="s">
        <v>64</v>
      </c>
      <c r="G115" s="19" t="s">
        <v>221</v>
      </c>
      <c r="H115" s="25" t="n">
        <v>-119.3</v>
      </c>
      <c r="I115" s="24"/>
    </row>
    <row r="116" customFormat="false" ht="15" hidden="false" customHeight="false" outlineLevel="0" collapsed="false">
      <c r="A116" s="13" t="s">
        <v>222</v>
      </c>
      <c r="B116" s="14" t="n">
        <v>45722</v>
      </c>
      <c r="C116" s="15" t="s">
        <v>204</v>
      </c>
      <c r="D116" s="15" t="n">
        <v>2025</v>
      </c>
      <c r="E116" s="22" t="s">
        <v>45</v>
      </c>
      <c r="F116" s="13" t="s">
        <v>46</v>
      </c>
      <c r="G116" s="13" t="s">
        <v>81</v>
      </c>
      <c r="H116" s="26" t="n">
        <v>161.47</v>
      </c>
      <c r="I116" s="18"/>
    </row>
    <row r="117" customFormat="false" ht="15" hidden="false" customHeight="false" outlineLevel="0" collapsed="false">
      <c r="A117" s="19" t="s">
        <v>223</v>
      </c>
      <c r="B117" s="20" t="n">
        <v>45722</v>
      </c>
      <c r="C117" s="21" t="s">
        <v>204</v>
      </c>
      <c r="D117" s="21" t="n">
        <v>2025</v>
      </c>
      <c r="E117" s="16" t="s">
        <v>41</v>
      </c>
      <c r="F117" s="19" t="s">
        <v>83</v>
      </c>
      <c r="G117" s="19" t="s">
        <v>96</v>
      </c>
      <c r="H117" s="25" t="n">
        <v>-144.03</v>
      </c>
      <c r="I117" s="24"/>
    </row>
    <row r="118" customFormat="false" ht="15" hidden="false" customHeight="false" outlineLevel="0" collapsed="false">
      <c r="A118" s="13" t="s">
        <v>224</v>
      </c>
      <c r="B118" s="14" t="n">
        <v>45722</v>
      </c>
      <c r="C118" s="15" t="s">
        <v>204</v>
      </c>
      <c r="D118" s="15" t="n">
        <v>2025</v>
      </c>
      <c r="E118" s="16" t="s">
        <v>41</v>
      </c>
      <c r="F118" s="13" t="s">
        <v>67</v>
      </c>
      <c r="G118" s="13" t="s">
        <v>132</v>
      </c>
      <c r="H118" s="17" t="n">
        <v>-88.59</v>
      </c>
      <c r="I118" s="18"/>
    </row>
    <row r="119" customFormat="false" ht="15" hidden="false" customHeight="false" outlineLevel="0" collapsed="false">
      <c r="A119" s="19" t="s">
        <v>225</v>
      </c>
      <c r="B119" s="20" t="n">
        <v>45722</v>
      </c>
      <c r="C119" s="21" t="s">
        <v>204</v>
      </c>
      <c r="D119" s="21" t="n">
        <v>2025</v>
      </c>
      <c r="E119" s="16" t="s">
        <v>41</v>
      </c>
      <c r="F119" s="19" t="s">
        <v>67</v>
      </c>
      <c r="G119" s="19" t="s">
        <v>226</v>
      </c>
      <c r="H119" s="25" t="n">
        <v>-167.91</v>
      </c>
      <c r="I119" s="24"/>
    </row>
    <row r="120" customFormat="false" ht="15" hidden="false" customHeight="false" outlineLevel="0" collapsed="false">
      <c r="A120" s="13" t="s">
        <v>227</v>
      </c>
      <c r="B120" s="14" t="n">
        <v>45723</v>
      </c>
      <c r="C120" s="15" t="s">
        <v>204</v>
      </c>
      <c r="D120" s="15" t="n">
        <v>2025</v>
      </c>
      <c r="E120" s="22" t="s">
        <v>45</v>
      </c>
      <c r="F120" s="13" t="s">
        <v>46</v>
      </c>
      <c r="G120" s="13" t="s">
        <v>56</v>
      </c>
      <c r="H120" s="17" t="n">
        <v>-565.849999999999</v>
      </c>
      <c r="I120" s="18"/>
    </row>
    <row r="121" customFormat="false" ht="15" hidden="false" customHeight="false" outlineLevel="0" collapsed="false">
      <c r="A121" s="19" t="s">
        <v>228</v>
      </c>
      <c r="B121" s="20" t="n">
        <v>45723</v>
      </c>
      <c r="C121" s="21" t="s">
        <v>204</v>
      </c>
      <c r="D121" s="21" t="n">
        <v>2025</v>
      </c>
      <c r="E121" s="16" t="s">
        <v>41</v>
      </c>
      <c r="F121" s="19" t="s">
        <v>107</v>
      </c>
      <c r="G121" s="19" t="s">
        <v>229</v>
      </c>
      <c r="H121" s="25" t="n">
        <v>-104.82</v>
      </c>
      <c r="I121" s="24"/>
    </row>
    <row r="122" customFormat="false" ht="15" hidden="false" customHeight="false" outlineLevel="0" collapsed="false">
      <c r="A122" s="13" t="s">
        <v>230</v>
      </c>
      <c r="B122" s="14" t="n">
        <v>45725</v>
      </c>
      <c r="C122" s="15" t="s">
        <v>204</v>
      </c>
      <c r="D122" s="15" t="n">
        <v>2025</v>
      </c>
      <c r="E122" s="22" t="s">
        <v>45</v>
      </c>
      <c r="F122" s="13" t="s">
        <v>46</v>
      </c>
      <c r="G122" s="13" t="s">
        <v>231</v>
      </c>
      <c r="H122" s="26" t="n">
        <v>199.66</v>
      </c>
      <c r="I122" s="18"/>
    </row>
    <row r="123" customFormat="false" ht="15" hidden="false" customHeight="false" outlineLevel="0" collapsed="false">
      <c r="A123" s="19" t="s">
        <v>232</v>
      </c>
      <c r="B123" s="20" t="n">
        <v>45725</v>
      </c>
      <c r="C123" s="21" t="s">
        <v>204</v>
      </c>
      <c r="D123" s="21" t="n">
        <v>2025</v>
      </c>
      <c r="E123" s="16" t="s">
        <v>41</v>
      </c>
      <c r="F123" s="19" t="s">
        <v>83</v>
      </c>
      <c r="G123" s="19" t="s">
        <v>126</v>
      </c>
      <c r="H123" s="25" t="n">
        <v>-102.35</v>
      </c>
      <c r="I123" s="24"/>
    </row>
    <row r="124" customFormat="false" ht="15" hidden="false" customHeight="false" outlineLevel="0" collapsed="false">
      <c r="A124" s="13" t="s">
        <v>233</v>
      </c>
      <c r="B124" s="14" t="n">
        <v>45726</v>
      </c>
      <c r="C124" s="15" t="s">
        <v>204</v>
      </c>
      <c r="D124" s="15" t="n">
        <v>2025</v>
      </c>
      <c r="E124" s="22" t="s">
        <v>45</v>
      </c>
      <c r="F124" s="13" t="s">
        <v>46</v>
      </c>
      <c r="G124" s="13" t="s">
        <v>72</v>
      </c>
      <c r="H124" s="26" t="n">
        <v>919.49</v>
      </c>
      <c r="I124" s="18"/>
    </row>
    <row r="125" customFormat="false" ht="15" hidden="false" customHeight="false" outlineLevel="0" collapsed="false">
      <c r="A125" s="19" t="s">
        <v>234</v>
      </c>
      <c r="B125" s="20" t="n">
        <v>45726</v>
      </c>
      <c r="C125" s="21" t="s">
        <v>204</v>
      </c>
      <c r="D125" s="21" t="n">
        <v>2025</v>
      </c>
      <c r="E125" s="22" t="s">
        <v>45</v>
      </c>
      <c r="F125" s="19" t="s">
        <v>46</v>
      </c>
      <c r="G125" s="19" t="s">
        <v>81</v>
      </c>
      <c r="H125" s="23" t="n">
        <v>439.79</v>
      </c>
      <c r="I125" s="24"/>
    </row>
    <row r="126" customFormat="false" ht="15" hidden="false" customHeight="false" outlineLevel="0" collapsed="false">
      <c r="A126" s="13" t="s">
        <v>235</v>
      </c>
      <c r="B126" s="14" t="n">
        <v>45726</v>
      </c>
      <c r="C126" s="15" t="s">
        <v>204</v>
      </c>
      <c r="D126" s="15" t="n">
        <v>2025</v>
      </c>
      <c r="E126" s="22" t="s">
        <v>45</v>
      </c>
      <c r="F126" s="13" t="s">
        <v>46</v>
      </c>
      <c r="G126" s="13" t="s">
        <v>98</v>
      </c>
      <c r="H126" s="26" t="n">
        <v>149.49</v>
      </c>
      <c r="I126" s="18"/>
    </row>
    <row r="127" customFormat="false" ht="15" hidden="false" customHeight="false" outlineLevel="0" collapsed="false">
      <c r="A127" s="19" t="s">
        <v>236</v>
      </c>
      <c r="B127" s="20" t="n">
        <v>45726</v>
      </c>
      <c r="C127" s="21" t="s">
        <v>204</v>
      </c>
      <c r="D127" s="21" t="n">
        <v>2025</v>
      </c>
      <c r="E127" s="16" t="s">
        <v>41</v>
      </c>
      <c r="F127" s="19" t="s">
        <v>74</v>
      </c>
      <c r="G127" s="19" t="s">
        <v>101</v>
      </c>
      <c r="H127" s="25" t="n">
        <v>-104.93</v>
      </c>
      <c r="I127" s="24"/>
    </row>
    <row r="128" customFormat="false" ht="15" hidden="false" customHeight="false" outlineLevel="0" collapsed="false">
      <c r="A128" s="13" t="s">
        <v>237</v>
      </c>
      <c r="B128" s="14" t="n">
        <v>45727</v>
      </c>
      <c r="C128" s="15" t="s">
        <v>204</v>
      </c>
      <c r="D128" s="15" t="n">
        <v>2025</v>
      </c>
      <c r="E128" s="22" t="s">
        <v>45</v>
      </c>
      <c r="F128" s="13" t="s">
        <v>46</v>
      </c>
      <c r="G128" s="13" t="s">
        <v>47</v>
      </c>
      <c r="H128" s="26" t="n">
        <v>385.4</v>
      </c>
      <c r="I128" s="18"/>
    </row>
    <row r="129" customFormat="false" ht="15" hidden="false" customHeight="false" outlineLevel="0" collapsed="false">
      <c r="A129" s="19" t="s">
        <v>238</v>
      </c>
      <c r="B129" s="20" t="n">
        <v>45727</v>
      </c>
      <c r="C129" s="21" t="s">
        <v>204</v>
      </c>
      <c r="D129" s="21" t="n">
        <v>2025</v>
      </c>
      <c r="E129" s="22" t="s">
        <v>45</v>
      </c>
      <c r="F129" s="19" t="s">
        <v>46</v>
      </c>
      <c r="G129" s="19" t="s">
        <v>104</v>
      </c>
      <c r="H129" s="23" t="n">
        <v>610.01</v>
      </c>
      <c r="I129" s="24"/>
    </row>
    <row r="130" customFormat="false" ht="15" hidden="false" customHeight="false" outlineLevel="0" collapsed="false">
      <c r="A130" s="13" t="s">
        <v>239</v>
      </c>
      <c r="B130" s="14" t="n">
        <v>45728</v>
      </c>
      <c r="C130" s="15" t="s">
        <v>204</v>
      </c>
      <c r="D130" s="15" t="n">
        <v>2025</v>
      </c>
      <c r="E130" s="16" t="s">
        <v>41</v>
      </c>
      <c r="F130" s="13" t="s">
        <v>74</v>
      </c>
      <c r="G130" s="13" t="s">
        <v>90</v>
      </c>
      <c r="H130" s="17" t="n">
        <v>-68.44</v>
      </c>
      <c r="I130" s="18"/>
    </row>
    <row r="131" customFormat="false" ht="15" hidden="false" customHeight="false" outlineLevel="0" collapsed="false">
      <c r="A131" s="19" t="s">
        <v>240</v>
      </c>
      <c r="B131" s="20" t="n">
        <v>45729</v>
      </c>
      <c r="C131" s="21" t="s">
        <v>204</v>
      </c>
      <c r="D131" s="21" t="n">
        <v>2025</v>
      </c>
      <c r="E131" s="22" t="s">
        <v>45</v>
      </c>
      <c r="F131" s="19" t="s">
        <v>46</v>
      </c>
      <c r="G131" s="19" t="s">
        <v>231</v>
      </c>
      <c r="H131" s="23" t="n">
        <v>307.21</v>
      </c>
      <c r="I131" s="24"/>
    </row>
    <row r="132" customFormat="false" ht="15" hidden="false" customHeight="false" outlineLevel="0" collapsed="false">
      <c r="A132" s="13" t="s">
        <v>241</v>
      </c>
      <c r="B132" s="14" t="n">
        <v>45730</v>
      </c>
      <c r="C132" s="15" t="s">
        <v>204</v>
      </c>
      <c r="D132" s="15" t="n">
        <v>2025</v>
      </c>
      <c r="E132" s="16" t="s">
        <v>41</v>
      </c>
      <c r="F132" s="13" t="s">
        <v>92</v>
      </c>
      <c r="G132" s="13" t="s">
        <v>134</v>
      </c>
      <c r="H132" s="17" t="n">
        <v>-50.52</v>
      </c>
      <c r="I132" s="18"/>
    </row>
    <row r="133" customFormat="false" ht="15" hidden="false" customHeight="false" outlineLevel="0" collapsed="false">
      <c r="A133" s="19" t="s">
        <v>242</v>
      </c>
      <c r="B133" s="20" t="n">
        <v>45732</v>
      </c>
      <c r="C133" s="21" t="s">
        <v>204</v>
      </c>
      <c r="D133" s="21" t="n">
        <v>2025</v>
      </c>
      <c r="E133" s="22" t="s">
        <v>45</v>
      </c>
      <c r="F133" s="19" t="s">
        <v>46</v>
      </c>
      <c r="G133" s="19" t="s">
        <v>79</v>
      </c>
      <c r="H133" s="23" t="n">
        <v>346.71</v>
      </c>
      <c r="I133" s="24"/>
    </row>
    <row r="134" customFormat="false" ht="15" hidden="false" customHeight="false" outlineLevel="0" collapsed="false">
      <c r="A134" s="13" t="s">
        <v>243</v>
      </c>
      <c r="B134" s="14" t="n">
        <v>45732</v>
      </c>
      <c r="C134" s="15" t="s">
        <v>204</v>
      </c>
      <c r="D134" s="15" t="n">
        <v>2025</v>
      </c>
      <c r="E134" s="16" t="s">
        <v>41</v>
      </c>
      <c r="F134" s="13" t="s">
        <v>49</v>
      </c>
      <c r="G134" s="13" t="s">
        <v>50</v>
      </c>
      <c r="H134" s="17" t="n">
        <v>-9762.42</v>
      </c>
      <c r="I134" s="18"/>
    </row>
    <row r="135" customFormat="false" ht="15" hidden="false" customHeight="false" outlineLevel="0" collapsed="false">
      <c r="A135" s="19" t="s">
        <v>244</v>
      </c>
      <c r="B135" s="20" t="n">
        <v>45733</v>
      </c>
      <c r="C135" s="21" t="s">
        <v>204</v>
      </c>
      <c r="D135" s="21" t="n">
        <v>2025</v>
      </c>
      <c r="E135" s="22" t="s">
        <v>45</v>
      </c>
      <c r="F135" s="19" t="s">
        <v>46</v>
      </c>
      <c r="G135" s="19" t="s">
        <v>231</v>
      </c>
      <c r="H135" s="23" t="n">
        <v>2794.42</v>
      </c>
      <c r="I135" s="24"/>
    </row>
    <row r="136" customFormat="false" ht="15" hidden="false" customHeight="false" outlineLevel="0" collapsed="false">
      <c r="A136" s="13" t="s">
        <v>245</v>
      </c>
      <c r="B136" s="14" t="n">
        <v>45733</v>
      </c>
      <c r="C136" s="15" t="s">
        <v>204</v>
      </c>
      <c r="D136" s="15" t="n">
        <v>2025</v>
      </c>
      <c r="E136" s="22" t="s">
        <v>45</v>
      </c>
      <c r="F136" s="13" t="s">
        <v>46</v>
      </c>
      <c r="G136" s="13" t="s">
        <v>70</v>
      </c>
      <c r="H136" s="26" t="n">
        <v>312.82</v>
      </c>
      <c r="I136" s="18"/>
    </row>
    <row r="137" customFormat="false" ht="15" hidden="false" customHeight="false" outlineLevel="0" collapsed="false">
      <c r="A137" s="19" t="s">
        <v>246</v>
      </c>
      <c r="B137" s="20" t="n">
        <v>45733</v>
      </c>
      <c r="C137" s="21" t="s">
        <v>204</v>
      </c>
      <c r="D137" s="21" t="n">
        <v>2025</v>
      </c>
      <c r="E137" s="16" t="s">
        <v>41</v>
      </c>
      <c r="F137" s="19" t="s">
        <v>49</v>
      </c>
      <c r="G137" s="19" t="s">
        <v>139</v>
      </c>
      <c r="H137" s="25" t="n">
        <v>-3453.12</v>
      </c>
      <c r="I137" s="24"/>
    </row>
    <row r="138" customFormat="false" ht="15" hidden="false" customHeight="false" outlineLevel="0" collapsed="false">
      <c r="A138" s="13" t="s">
        <v>247</v>
      </c>
      <c r="B138" s="14" t="n">
        <v>45734</v>
      </c>
      <c r="C138" s="15" t="s">
        <v>204</v>
      </c>
      <c r="D138" s="15" t="n">
        <v>2025</v>
      </c>
      <c r="E138" s="16" t="s">
        <v>41</v>
      </c>
      <c r="F138" s="13" t="s">
        <v>87</v>
      </c>
      <c r="G138" s="13" t="s">
        <v>113</v>
      </c>
      <c r="H138" s="17" t="n">
        <v>-125.8</v>
      </c>
      <c r="I138" s="18"/>
    </row>
    <row r="139" customFormat="false" ht="15" hidden="false" customHeight="false" outlineLevel="0" collapsed="false">
      <c r="A139" s="19" t="s">
        <v>248</v>
      </c>
      <c r="B139" s="20" t="n">
        <v>45735</v>
      </c>
      <c r="C139" s="21" t="s">
        <v>204</v>
      </c>
      <c r="D139" s="21" t="n">
        <v>2025</v>
      </c>
      <c r="E139" s="22" t="s">
        <v>45</v>
      </c>
      <c r="F139" s="19" t="s">
        <v>46</v>
      </c>
      <c r="G139" s="19" t="s">
        <v>79</v>
      </c>
      <c r="H139" s="23" t="n">
        <v>4435.32</v>
      </c>
      <c r="I139" s="24"/>
    </row>
    <row r="140" customFormat="false" ht="15" hidden="false" customHeight="false" outlineLevel="0" collapsed="false">
      <c r="A140" s="13" t="s">
        <v>249</v>
      </c>
      <c r="B140" s="14" t="n">
        <v>45735</v>
      </c>
      <c r="C140" s="15" t="s">
        <v>204</v>
      </c>
      <c r="D140" s="15" t="n">
        <v>2025</v>
      </c>
      <c r="E140" s="22" t="s">
        <v>45</v>
      </c>
      <c r="F140" s="13" t="s">
        <v>46</v>
      </c>
      <c r="G140" s="13" t="s">
        <v>72</v>
      </c>
      <c r="H140" s="26" t="n">
        <v>708.6</v>
      </c>
      <c r="I140" s="18"/>
    </row>
    <row r="141" customFormat="false" ht="15" hidden="false" customHeight="false" outlineLevel="0" collapsed="false">
      <c r="A141" s="19" t="s">
        <v>250</v>
      </c>
      <c r="B141" s="20" t="n">
        <v>45736</v>
      </c>
      <c r="C141" s="21" t="s">
        <v>204</v>
      </c>
      <c r="D141" s="21" t="n">
        <v>2025</v>
      </c>
      <c r="E141" s="22" t="s">
        <v>45</v>
      </c>
      <c r="F141" s="19" t="s">
        <v>46</v>
      </c>
      <c r="G141" s="19" t="s">
        <v>98</v>
      </c>
      <c r="H141" s="23" t="n">
        <v>201.34</v>
      </c>
      <c r="I141" s="24"/>
    </row>
    <row r="142" customFormat="false" ht="15" hidden="false" customHeight="false" outlineLevel="0" collapsed="false">
      <c r="A142" s="13" t="s">
        <v>251</v>
      </c>
      <c r="B142" s="14" t="n">
        <v>45738</v>
      </c>
      <c r="C142" s="15" t="s">
        <v>204</v>
      </c>
      <c r="D142" s="15" t="n">
        <v>2025</v>
      </c>
      <c r="E142" s="22" t="s">
        <v>45</v>
      </c>
      <c r="F142" s="13" t="s">
        <v>46</v>
      </c>
      <c r="G142" s="13" t="s">
        <v>98</v>
      </c>
      <c r="H142" s="26" t="n">
        <v>266.01</v>
      </c>
      <c r="I142" s="18"/>
    </row>
    <row r="143" customFormat="false" ht="15" hidden="false" customHeight="false" outlineLevel="0" collapsed="false">
      <c r="A143" s="19" t="s">
        <v>252</v>
      </c>
      <c r="B143" s="20" t="n">
        <v>45738</v>
      </c>
      <c r="C143" s="21" t="s">
        <v>204</v>
      </c>
      <c r="D143" s="21" t="n">
        <v>2025</v>
      </c>
      <c r="E143" s="22" t="s">
        <v>45</v>
      </c>
      <c r="F143" s="19" t="s">
        <v>46</v>
      </c>
      <c r="G143" s="19" t="s">
        <v>70</v>
      </c>
      <c r="H143" s="23" t="n">
        <v>121.56</v>
      </c>
      <c r="I143" s="24"/>
    </row>
    <row r="144" customFormat="false" ht="15" hidden="false" customHeight="false" outlineLevel="0" collapsed="false">
      <c r="A144" s="13" t="s">
        <v>253</v>
      </c>
      <c r="B144" s="14" t="n">
        <v>45739</v>
      </c>
      <c r="C144" s="15" t="s">
        <v>204</v>
      </c>
      <c r="D144" s="15" t="n">
        <v>2025</v>
      </c>
      <c r="E144" s="22" t="s">
        <v>45</v>
      </c>
      <c r="F144" s="13" t="s">
        <v>46</v>
      </c>
      <c r="G144" s="13" t="s">
        <v>81</v>
      </c>
      <c r="H144" s="26" t="n">
        <v>3340.09</v>
      </c>
      <c r="I144" s="18"/>
    </row>
    <row r="145" customFormat="false" ht="15" hidden="false" customHeight="false" outlineLevel="0" collapsed="false">
      <c r="A145" s="19" t="s">
        <v>254</v>
      </c>
      <c r="B145" s="20" t="n">
        <v>45739</v>
      </c>
      <c r="C145" s="21" t="s">
        <v>204</v>
      </c>
      <c r="D145" s="21" t="n">
        <v>2025</v>
      </c>
      <c r="E145" s="22" t="s">
        <v>45</v>
      </c>
      <c r="F145" s="19" t="s">
        <v>46</v>
      </c>
      <c r="G145" s="19" t="s">
        <v>56</v>
      </c>
      <c r="H145" s="23" t="n">
        <v>310.79</v>
      </c>
      <c r="I145" s="24"/>
    </row>
    <row r="146" customFormat="false" ht="15" hidden="false" customHeight="false" outlineLevel="0" collapsed="false">
      <c r="A146" s="13" t="s">
        <v>255</v>
      </c>
      <c r="B146" s="14" t="n">
        <v>45739</v>
      </c>
      <c r="C146" s="15" t="s">
        <v>204</v>
      </c>
      <c r="D146" s="15" t="n">
        <v>2025</v>
      </c>
      <c r="E146" s="22" t="s">
        <v>45</v>
      </c>
      <c r="F146" s="13" t="s">
        <v>46</v>
      </c>
      <c r="G146" s="13" t="s">
        <v>104</v>
      </c>
      <c r="H146" s="26" t="n">
        <v>72.68</v>
      </c>
      <c r="I146" s="18"/>
    </row>
    <row r="147" customFormat="false" ht="15" hidden="false" customHeight="false" outlineLevel="0" collapsed="false">
      <c r="A147" s="19" t="s">
        <v>256</v>
      </c>
      <c r="B147" s="20" t="n">
        <v>45739</v>
      </c>
      <c r="C147" s="21" t="s">
        <v>204</v>
      </c>
      <c r="D147" s="21" t="n">
        <v>2025</v>
      </c>
      <c r="E147" s="16" t="s">
        <v>41</v>
      </c>
      <c r="F147" s="19" t="s">
        <v>87</v>
      </c>
      <c r="G147" s="19" t="s">
        <v>88</v>
      </c>
      <c r="H147" s="25" t="n">
        <v>-226.61</v>
      </c>
      <c r="I147" s="24"/>
    </row>
    <row r="148" customFormat="false" ht="15" hidden="false" customHeight="false" outlineLevel="0" collapsed="false">
      <c r="A148" s="13" t="s">
        <v>257</v>
      </c>
      <c r="B148" s="14" t="n">
        <v>45740</v>
      </c>
      <c r="C148" s="15" t="s">
        <v>204</v>
      </c>
      <c r="D148" s="15" t="n">
        <v>2025</v>
      </c>
      <c r="E148" s="16" t="s">
        <v>41</v>
      </c>
      <c r="F148" s="13" t="s">
        <v>83</v>
      </c>
      <c r="G148" s="13" t="s">
        <v>84</v>
      </c>
      <c r="H148" s="17" t="n">
        <v>-429.98</v>
      </c>
      <c r="I148" s="18"/>
    </row>
    <row r="149" customFormat="false" ht="15" hidden="false" customHeight="false" outlineLevel="0" collapsed="false">
      <c r="A149" s="19" t="s">
        <v>258</v>
      </c>
      <c r="B149" s="20" t="n">
        <v>45741</v>
      </c>
      <c r="C149" s="21" t="s">
        <v>204</v>
      </c>
      <c r="D149" s="21" t="n">
        <v>2025</v>
      </c>
      <c r="E149" s="22" t="s">
        <v>45</v>
      </c>
      <c r="F149" s="19" t="s">
        <v>46</v>
      </c>
      <c r="G149" s="19" t="s">
        <v>70</v>
      </c>
      <c r="H149" s="23" t="n">
        <v>271.16</v>
      </c>
      <c r="I149" s="24"/>
    </row>
    <row r="150" customFormat="false" ht="15" hidden="false" customHeight="false" outlineLevel="0" collapsed="false">
      <c r="A150" s="13" t="s">
        <v>259</v>
      </c>
      <c r="B150" s="14" t="n">
        <v>45742</v>
      </c>
      <c r="C150" s="15" t="s">
        <v>204</v>
      </c>
      <c r="D150" s="15" t="n">
        <v>2025</v>
      </c>
      <c r="E150" s="22" t="s">
        <v>45</v>
      </c>
      <c r="F150" s="13" t="s">
        <v>46</v>
      </c>
      <c r="G150" s="13" t="s">
        <v>79</v>
      </c>
      <c r="H150" s="26" t="n">
        <v>93.25</v>
      </c>
      <c r="I150" s="18"/>
    </row>
    <row r="151" customFormat="false" ht="15" hidden="false" customHeight="false" outlineLevel="0" collapsed="false">
      <c r="A151" s="19" t="s">
        <v>260</v>
      </c>
      <c r="B151" s="20" t="n">
        <v>45742</v>
      </c>
      <c r="C151" s="21" t="s">
        <v>204</v>
      </c>
      <c r="D151" s="21" t="n">
        <v>2025</v>
      </c>
      <c r="E151" s="16" t="s">
        <v>41</v>
      </c>
      <c r="F151" s="19" t="s">
        <v>74</v>
      </c>
      <c r="G151" s="19" t="s">
        <v>75</v>
      </c>
      <c r="H151" s="25" t="n">
        <v>-250.49</v>
      </c>
      <c r="I151" s="24"/>
    </row>
    <row r="152" customFormat="false" ht="15" hidden="false" customHeight="false" outlineLevel="0" collapsed="false">
      <c r="A152" s="13" t="s">
        <v>261</v>
      </c>
      <c r="B152" s="14" t="n">
        <v>45742</v>
      </c>
      <c r="C152" s="15" t="s">
        <v>204</v>
      </c>
      <c r="D152" s="15" t="n">
        <v>2025</v>
      </c>
      <c r="E152" s="16" t="s">
        <v>41</v>
      </c>
      <c r="F152" s="13" t="s">
        <v>67</v>
      </c>
      <c r="G152" s="13" t="s">
        <v>68</v>
      </c>
      <c r="H152" s="17" t="n">
        <v>-76.47</v>
      </c>
      <c r="I152" s="18"/>
    </row>
    <row r="153" customFormat="false" ht="15" hidden="false" customHeight="false" outlineLevel="0" collapsed="false">
      <c r="A153" s="19" t="s">
        <v>262</v>
      </c>
      <c r="B153" s="20" t="n">
        <v>45742</v>
      </c>
      <c r="C153" s="21" t="s">
        <v>204</v>
      </c>
      <c r="D153" s="21" t="n">
        <v>2025</v>
      </c>
      <c r="E153" s="16" t="s">
        <v>41</v>
      </c>
      <c r="F153" s="19" t="s">
        <v>67</v>
      </c>
      <c r="G153" s="19" t="s">
        <v>122</v>
      </c>
      <c r="H153" s="25" t="n">
        <v>-85.99</v>
      </c>
      <c r="I153" s="24"/>
    </row>
    <row r="154" customFormat="false" ht="15" hidden="false" customHeight="false" outlineLevel="0" collapsed="false">
      <c r="A154" s="13" t="s">
        <v>263</v>
      </c>
      <c r="B154" s="14" t="n">
        <v>45742</v>
      </c>
      <c r="C154" s="15" t="s">
        <v>204</v>
      </c>
      <c r="D154" s="15" t="n">
        <v>2025</v>
      </c>
      <c r="E154" s="16" t="s">
        <v>41</v>
      </c>
      <c r="F154" s="13" t="s">
        <v>92</v>
      </c>
      <c r="G154" s="13" t="s">
        <v>136</v>
      </c>
      <c r="H154" s="17" t="n">
        <v>-115.95</v>
      </c>
      <c r="I154" s="18"/>
    </row>
    <row r="155" customFormat="false" ht="15" hidden="false" customHeight="false" outlineLevel="0" collapsed="false">
      <c r="A155" s="19" t="s">
        <v>264</v>
      </c>
      <c r="B155" s="20" t="n">
        <v>45743</v>
      </c>
      <c r="C155" s="21" t="s">
        <v>204</v>
      </c>
      <c r="D155" s="21" t="n">
        <v>2025</v>
      </c>
      <c r="E155" s="22" t="s">
        <v>45</v>
      </c>
      <c r="F155" s="19" t="s">
        <v>46</v>
      </c>
      <c r="G155" s="19" t="s">
        <v>79</v>
      </c>
      <c r="H155" s="23" t="n">
        <v>198.42</v>
      </c>
      <c r="I155" s="24"/>
    </row>
    <row r="156" customFormat="false" ht="15" hidden="false" customHeight="false" outlineLevel="0" collapsed="false">
      <c r="A156" s="13" t="s">
        <v>265</v>
      </c>
      <c r="B156" s="14" t="n">
        <v>45744</v>
      </c>
      <c r="C156" s="15" t="s">
        <v>204</v>
      </c>
      <c r="D156" s="15" t="n">
        <v>2025</v>
      </c>
      <c r="E156" s="22" t="s">
        <v>45</v>
      </c>
      <c r="F156" s="13" t="s">
        <v>46</v>
      </c>
      <c r="G156" s="13" t="s">
        <v>72</v>
      </c>
      <c r="H156" s="26" t="n">
        <v>291.55</v>
      </c>
      <c r="I156" s="18"/>
    </row>
    <row r="157" customFormat="false" ht="15" hidden="false" customHeight="false" outlineLevel="0" collapsed="false">
      <c r="A157" s="19" t="s">
        <v>266</v>
      </c>
      <c r="B157" s="20" t="n">
        <v>45748</v>
      </c>
      <c r="C157" s="21" t="s">
        <v>267</v>
      </c>
      <c r="D157" s="21" t="n">
        <v>2025</v>
      </c>
      <c r="E157" s="22" t="s">
        <v>45</v>
      </c>
      <c r="F157" s="19" t="s">
        <v>46</v>
      </c>
      <c r="G157" s="19" t="s">
        <v>70</v>
      </c>
      <c r="H157" s="23" t="n">
        <v>583.33</v>
      </c>
      <c r="I157" s="24"/>
    </row>
    <row r="158" customFormat="false" ht="15" hidden="false" customHeight="false" outlineLevel="0" collapsed="false">
      <c r="A158" s="13" t="s">
        <v>268</v>
      </c>
      <c r="B158" s="14" t="n">
        <v>45748</v>
      </c>
      <c r="C158" s="15" t="s">
        <v>267</v>
      </c>
      <c r="D158" s="15" t="n">
        <v>2025</v>
      </c>
      <c r="E158" s="16" t="s">
        <v>41</v>
      </c>
      <c r="F158" s="13" t="s">
        <v>53</v>
      </c>
      <c r="G158" s="13" t="s">
        <v>269</v>
      </c>
      <c r="H158" s="17" t="n">
        <v>-151.62</v>
      </c>
      <c r="I158" s="18"/>
    </row>
    <row r="159" customFormat="false" ht="15" hidden="false" customHeight="false" outlineLevel="0" collapsed="false">
      <c r="A159" s="19" t="s">
        <v>270</v>
      </c>
      <c r="B159" s="20" t="n">
        <v>45749</v>
      </c>
      <c r="C159" s="21" t="s">
        <v>267</v>
      </c>
      <c r="D159" s="21" t="n">
        <v>2025</v>
      </c>
      <c r="E159" s="22" t="s">
        <v>45</v>
      </c>
      <c r="F159" s="19" t="s">
        <v>46</v>
      </c>
      <c r="G159" s="19" t="s">
        <v>81</v>
      </c>
      <c r="H159" s="23" t="n">
        <v>1746.19</v>
      </c>
      <c r="I159" s="24"/>
    </row>
    <row r="160" customFormat="false" ht="15" hidden="false" customHeight="false" outlineLevel="0" collapsed="false">
      <c r="A160" s="13" t="s">
        <v>271</v>
      </c>
      <c r="B160" s="14" t="n">
        <v>45749</v>
      </c>
      <c r="C160" s="15" t="s">
        <v>267</v>
      </c>
      <c r="D160" s="15" t="n">
        <v>2025</v>
      </c>
      <c r="E160" s="16" t="s">
        <v>41</v>
      </c>
      <c r="F160" s="13" t="s">
        <v>42</v>
      </c>
      <c r="G160" s="13" t="s">
        <v>272</v>
      </c>
      <c r="H160" s="17" t="n">
        <v>-1496.51</v>
      </c>
      <c r="I160" s="18"/>
    </row>
    <row r="161" customFormat="false" ht="15" hidden="false" customHeight="false" outlineLevel="0" collapsed="false">
      <c r="A161" s="19" t="s">
        <v>273</v>
      </c>
      <c r="B161" s="20" t="n">
        <v>45749</v>
      </c>
      <c r="C161" s="21" t="s">
        <v>267</v>
      </c>
      <c r="D161" s="21" t="n">
        <v>2025</v>
      </c>
      <c r="E161" s="16" t="s">
        <v>41</v>
      </c>
      <c r="F161" s="19" t="s">
        <v>58</v>
      </c>
      <c r="G161" s="19" t="s">
        <v>274</v>
      </c>
      <c r="H161" s="25" t="n">
        <v>-2200.98</v>
      </c>
      <c r="I161" s="24"/>
    </row>
    <row r="162" customFormat="false" ht="15" hidden="false" customHeight="false" outlineLevel="0" collapsed="false">
      <c r="A162" s="13" t="s">
        <v>275</v>
      </c>
      <c r="B162" s="14" t="n">
        <v>45749</v>
      </c>
      <c r="C162" s="15" t="s">
        <v>267</v>
      </c>
      <c r="D162" s="15" t="n">
        <v>2025</v>
      </c>
      <c r="E162" s="16" t="s">
        <v>41</v>
      </c>
      <c r="F162" s="13" t="s">
        <v>64</v>
      </c>
      <c r="G162" s="13" t="s">
        <v>276</v>
      </c>
      <c r="H162" s="17" t="n">
        <v>-119.97</v>
      </c>
      <c r="I162" s="18"/>
    </row>
    <row r="163" customFormat="false" ht="15" hidden="false" customHeight="false" outlineLevel="0" collapsed="false">
      <c r="A163" s="19" t="s">
        <v>277</v>
      </c>
      <c r="B163" s="20" t="n">
        <v>45750</v>
      </c>
      <c r="C163" s="21" t="s">
        <v>267</v>
      </c>
      <c r="D163" s="21" t="n">
        <v>2025</v>
      </c>
      <c r="E163" s="22" t="s">
        <v>45</v>
      </c>
      <c r="F163" s="19" t="s">
        <v>46</v>
      </c>
      <c r="G163" s="19" t="s">
        <v>56</v>
      </c>
      <c r="H163" s="23" t="n">
        <v>163.95</v>
      </c>
      <c r="I163" s="24"/>
    </row>
    <row r="164" customFormat="false" ht="15" hidden="false" customHeight="false" outlineLevel="0" collapsed="false">
      <c r="A164" s="13" t="s">
        <v>278</v>
      </c>
      <c r="B164" s="14" t="n">
        <v>45751</v>
      </c>
      <c r="C164" s="15" t="s">
        <v>267</v>
      </c>
      <c r="D164" s="15" t="n">
        <v>2025</v>
      </c>
      <c r="E164" s="16" t="s">
        <v>41</v>
      </c>
      <c r="F164" s="13" t="s">
        <v>61</v>
      </c>
      <c r="G164" s="13" t="s">
        <v>279</v>
      </c>
      <c r="H164" s="17" t="n">
        <v>-80.24</v>
      </c>
      <c r="I164" s="18"/>
    </row>
    <row r="165" customFormat="false" ht="15" hidden="false" customHeight="false" outlineLevel="0" collapsed="false">
      <c r="A165" s="19" t="s">
        <v>280</v>
      </c>
      <c r="B165" s="20" t="n">
        <v>45751</v>
      </c>
      <c r="C165" s="21" t="s">
        <v>267</v>
      </c>
      <c r="D165" s="21" t="n">
        <v>2025</v>
      </c>
      <c r="E165" s="16" t="s">
        <v>41</v>
      </c>
      <c r="F165" s="19" t="s">
        <v>92</v>
      </c>
      <c r="G165" s="19" t="s">
        <v>194</v>
      </c>
      <c r="H165" s="25" t="n">
        <v>-121.51</v>
      </c>
      <c r="I165" s="24"/>
    </row>
    <row r="166" customFormat="false" ht="15" hidden="false" customHeight="false" outlineLevel="0" collapsed="false">
      <c r="A166" s="13" t="s">
        <v>281</v>
      </c>
      <c r="B166" s="14" t="n">
        <v>45753</v>
      </c>
      <c r="C166" s="15" t="s">
        <v>267</v>
      </c>
      <c r="D166" s="15" t="n">
        <v>2025</v>
      </c>
      <c r="E166" s="22" t="s">
        <v>45</v>
      </c>
      <c r="F166" s="13" t="s">
        <v>46</v>
      </c>
      <c r="G166" s="13" t="s">
        <v>98</v>
      </c>
      <c r="H166" s="17" t="n">
        <v>-18.81</v>
      </c>
      <c r="I166" s="18"/>
    </row>
    <row r="167" customFormat="false" ht="15" hidden="false" customHeight="false" outlineLevel="0" collapsed="false">
      <c r="A167" s="19" t="s">
        <v>282</v>
      </c>
      <c r="B167" s="20" t="n">
        <v>45755</v>
      </c>
      <c r="C167" s="21" t="s">
        <v>267</v>
      </c>
      <c r="D167" s="21" t="n">
        <v>2025</v>
      </c>
      <c r="E167" s="16" t="s">
        <v>41</v>
      </c>
      <c r="F167" s="19" t="s">
        <v>87</v>
      </c>
      <c r="G167" s="19" t="s">
        <v>130</v>
      </c>
      <c r="H167" s="25" t="n">
        <v>-301.07</v>
      </c>
      <c r="I167" s="24"/>
    </row>
    <row r="168" customFormat="false" ht="15" hidden="false" customHeight="false" outlineLevel="0" collapsed="false">
      <c r="A168" s="13" t="s">
        <v>283</v>
      </c>
      <c r="B168" s="14" t="n">
        <v>45755</v>
      </c>
      <c r="C168" s="15" t="s">
        <v>267</v>
      </c>
      <c r="D168" s="15" t="n">
        <v>2025</v>
      </c>
      <c r="E168" s="16" t="s">
        <v>41</v>
      </c>
      <c r="F168" s="13" t="s">
        <v>92</v>
      </c>
      <c r="G168" s="13" t="s">
        <v>136</v>
      </c>
      <c r="H168" s="17" t="n">
        <v>-52.95</v>
      </c>
      <c r="I168" s="18"/>
    </row>
    <row r="169" customFormat="false" ht="15" hidden="false" customHeight="false" outlineLevel="0" collapsed="false">
      <c r="A169" s="19" t="s">
        <v>284</v>
      </c>
      <c r="B169" s="20" t="n">
        <v>45756</v>
      </c>
      <c r="C169" s="21" t="s">
        <v>267</v>
      </c>
      <c r="D169" s="21" t="n">
        <v>2025</v>
      </c>
      <c r="E169" s="22" t="s">
        <v>45</v>
      </c>
      <c r="F169" s="19" t="s">
        <v>46</v>
      </c>
      <c r="G169" s="19" t="s">
        <v>70</v>
      </c>
      <c r="H169" s="23" t="n">
        <v>1226.53</v>
      </c>
      <c r="I169" s="24"/>
    </row>
    <row r="170" customFormat="false" ht="15" hidden="false" customHeight="false" outlineLevel="0" collapsed="false">
      <c r="A170" s="13" t="s">
        <v>285</v>
      </c>
      <c r="B170" s="14" t="n">
        <v>45756</v>
      </c>
      <c r="C170" s="15" t="s">
        <v>267</v>
      </c>
      <c r="D170" s="15" t="n">
        <v>2025</v>
      </c>
      <c r="E170" s="22" t="s">
        <v>45</v>
      </c>
      <c r="F170" s="13" t="s">
        <v>46</v>
      </c>
      <c r="G170" s="13" t="s">
        <v>56</v>
      </c>
      <c r="H170" s="26" t="n">
        <v>2335.14</v>
      </c>
      <c r="I170" s="18"/>
    </row>
    <row r="171" customFormat="false" ht="15" hidden="false" customHeight="false" outlineLevel="0" collapsed="false">
      <c r="A171" s="19" t="s">
        <v>286</v>
      </c>
      <c r="B171" s="20" t="n">
        <v>45756</v>
      </c>
      <c r="C171" s="21" t="s">
        <v>267</v>
      </c>
      <c r="D171" s="21" t="n">
        <v>2025</v>
      </c>
      <c r="E171" s="22" t="s">
        <v>45</v>
      </c>
      <c r="F171" s="19" t="s">
        <v>46</v>
      </c>
      <c r="G171" s="19" t="s">
        <v>231</v>
      </c>
      <c r="H171" s="23" t="n">
        <v>1061.74</v>
      </c>
      <c r="I171" s="24"/>
    </row>
    <row r="172" customFormat="false" ht="15" hidden="false" customHeight="false" outlineLevel="0" collapsed="false">
      <c r="A172" s="13" t="s">
        <v>287</v>
      </c>
      <c r="B172" s="14" t="n">
        <v>45756</v>
      </c>
      <c r="C172" s="15" t="s">
        <v>267</v>
      </c>
      <c r="D172" s="15" t="n">
        <v>2025</v>
      </c>
      <c r="E172" s="22" t="s">
        <v>45</v>
      </c>
      <c r="F172" s="13" t="s">
        <v>46</v>
      </c>
      <c r="G172" s="13" t="s">
        <v>47</v>
      </c>
      <c r="H172" s="26" t="n">
        <v>585.53</v>
      </c>
      <c r="I172" s="18"/>
    </row>
    <row r="173" customFormat="false" ht="15" hidden="false" customHeight="false" outlineLevel="0" collapsed="false">
      <c r="A173" s="19" t="s">
        <v>288</v>
      </c>
      <c r="B173" s="20" t="n">
        <v>45757</v>
      </c>
      <c r="C173" s="21" t="s">
        <v>267</v>
      </c>
      <c r="D173" s="21" t="n">
        <v>2025</v>
      </c>
      <c r="E173" s="22" t="s">
        <v>45</v>
      </c>
      <c r="F173" s="19" t="s">
        <v>46</v>
      </c>
      <c r="G173" s="19" t="s">
        <v>79</v>
      </c>
      <c r="H173" s="23" t="n">
        <v>70.1</v>
      </c>
      <c r="I173" s="24"/>
    </row>
    <row r="174" customFormat="false" ht="15" hidden="false" customHeight="false" outlineLevel="0" collapsed="false">
      <c r="A174" s="13" t="s">
        <v>289</v>
      </c>
      <c r="B174" s="14" t="n">
        <v>45757</v>
      </c>
      <c r="C174" s="15" t="s">
        <v>267</v>
      </c>
      <c r="D174" s="15" t="n">
        <v>2025</v>
      </c>
      <c r="E174" s="22" t="s">
        <v>45</v>
      </c>
      <c r="F174" s="13" t="s">
        <v>46</v>
      </c>
      <c r="G174" s="13" t="s">
        <v>79</v>
      </c>
      <c r="H174" s="26" t="n">
        <v>102.29</v>
      </c>
      <c r="I174" s="18"/>
    </row>
    <row r="175" customFormat="false" ht="15" hidden="false" customHeight="false" outlineLevel="0" collapsed="false">
      <c r="A175" s="19" t="s">
        <v>290</v>
      </c>
      <c r="B175" s="20" t="n">
        <v>45757</v>
      </c>
      <c r="C175" s="21" t="s">
        <v>267</v>
      </c>
      <c r="D175" s="21" t="n">
        <v>2025</v>
      </c>
      <c r="E175" s="16" t="s">
        <v>41</v>
      </c>
      <c r="F175" s="19" t="s">
        <v>87</v>
      </c>
      <c r="G175" s="19" t="s">
        <v>88</v>
      </c>
      <c r="H175" s="25" t="n">
        <v>-141.37</v>
      </c>
      <c r="I175" s="24"/>
    </row>
    <row r="176" customFormat="false" ht="15" hidden="false" customHeight="false" outlineLevel="0" collapsed="false">
      <c r="A176" s="13" t="s">
        <v>291</v>
      </c>
      <c r="B176" s="14" t="n">
        <v>45758</v>
      </c>
      <c r="C176" s="15" t="s">
        <v>267</v>
      </c>
      <c r="D176" s="15" t="n">
        <v>2025</v>
      </c>
      <c r="E176" s="22" t="s">
        <v>45</v>
      </c>
      <c r="F176" s="13" t="s">
        <v>46</v>
      </c>
      <c r="G176" s="13" t="s">
        <v>77</v>
      </c>
      <c r="H176" s="26" t="n">
        <v>500.52</v>
      </c>
      <c r="I176" s="18"/>
    </row>
    <row r="177" customFormat="false" ht="15" hidden="false" customHeight="false" outlineLevel="0" collapsed="false">
      <c r="A177" s="19" t="s">
        <v>292</v>
      </c>
      <c r="B177" s="20" t="n">
        <v>45758</v>
      </c>
      <c r="C177" s="21" t="s">
        <v>267</v>
      </c>
      <c r="D177" s="21" t="n">
        <v>2025</v>
      </c>
      <c r="E177" s="16" t="s">
        <v>41</v>
      </c>
      <c r="F177" s="19" t="s">
        <v>49</v>
      </c>
      <c r="G177" s="19" t="s">
        <v>50</v>
      </c>
      <c r="H177" s="25" t="n">
        <v>-2796.21</v>
      </c>
      <c r="I177" s="24"/>
    </row>
    <row r="178" customFormat="false" ht="15" hidden="false" customHeight="false" outlineLevel="0" collapsed="false">
      <c r="A178" s="13" t="s">
        <v>293</v>
      </c>
      <c r="B178" s="14" t="n">
        <v>45760</v>
      </c>
      <c r="C178" s="15" t="s">
        <v>267</v>
      </c>
      <c r="D178" s="15" t="n">
        <v>2025</v>
      </c>
      <c r="E178" s="22" t="s">
        <v>45</v>
      </c>
      <c r="F178" s="13" t="s">
        <v>46</v>
      </c>
      <c r="G178" s="13" t="s">
        <v>79</v>
      </c>
      <c r="H178" s="26" t="n">
        <v>1167.17</v>
      </c>
      <c r="I178" s="18"/>
    </row>
    <row r="179" customFormat="false" ht="15" hidden="false" customHeight="false" outlineLevel="0" collapsed="false">
      <c r="A179" s="19" t="s">
        <v>294</v>
      </c>
      <c r="B179" s="20" t="n">
        <v>45760</v>
      </c>
      <c r="C179" s="21" t="s">
        <v>267</v>
      </c>
      <c r="D179" s="21" t="n">
        <v>2025</v>
      </c>
      <c r="E179" s="22" t="s">
        <v>45</v>
      </c>
      <c r="F179" s="19" t="s">
        <v>46</v>
      </c>
      <c r="G179" s="19" t="s">
        <v>79</v>
      </c>
      <c r="H179" s="23" t="n">
        <v>19.36</v>
      </c>
      <c r="I179" s="24"/>
    </row>
    <row r="180" customFormat="false" ht="15" hidden="false" customHeight="false" outlineLevel="0" collapsed="false">
      <c r="A180" s="13" t="s">
        <v>295</v>
      </c>
      <c r="B180" s="14" t="n">
        <v>45761</v>
      </c>
      <c r="C180" s="15" t="s">
        <v>267</v>
      </c>
      <c r="D180" s="15" t="n">
        <v>2025</v>
      </c>
      <c r="E180" s="22" t="s">
        <v>45</v>
      </c>
      <c r="F180" s="13" t="s">
        <v>46</v>
      </c>
      <c r="G180" s="13" t="s">
        <v>56</v>
      </c>
      <c r="H180" s="26" t="n">
        <v>252.94</v>
      </c>
      <c r="I180" s="18"/>
    </row>
    <row r="181" customFormat="false" ht="15" hidden="false" customHeight="false" outlineLevel="0" collapsed="false">
      <c r="A181" s="19" t="s">
        <v>296</v>
      </c>
      <c r="B181" s="20" t="n">
        <v>45761</v>
      </c>
      <c r="C181" s="21" t="s">
        <v>267</v>
      </c>
      <c r="D181" s="21" t="n">
        <v>2025</v>
      </c>
      <c r="E181" s="22" t="s">
        <v>45</v>
      </c>
      <c r="F181" s="19" t="s">
        <v>46</v>
      </c>
      <c r="G181" s="19" t="s">
        <v>56</v>
      </c>
      <c r="H181" s="23" t="n">
        <v>137.68</v>
      </c>
      <c r="I181" s="24"/>
    </row>
    <row r="182" customFormat="false" ht="15" hidden="false" customHeight="false" outlineLevel="0" collapsed="false">
      <c r="A182" s="13" t="s">
        <v>297</v>
      </c>
      <c r="B182" s="14" t="n">
        <v>45761</v>
      </c>
      <c r="C182" s="15" t="s">
        <v>267</v>
      </c>
      <c r="D182" s="15" t="n">
        <v>2025</v>
      </c>
      <c r="E182" s="22" t="s">
        <v>45</v>
      </c>
      <c r="F182" s="13" t="s">
        <v>46</v>
      </c>
      <c r="G182" s="13" t="s">
        <v>77</v>
      </c>
      <c r="H182" s="26" t="n">
        <v>165.19</v>
      </c>
      <c r="I182" s="18"/>
    </row>
    <row r="183" customFormat="false" ht="15" hidden="false" customHeight="false" outlineLevel="0" collapsed="false">
      <c r="A183" s="19" t="s">
        <v>298</v>
      </c>
      <c r="B183" s="20" t="n">
        <v>45762</v>
      </c>
      <c r="C183" s="21" t="s">
        <v>267</v>
      </c>
      <c r="D183" s="21" t="n">
        <v>2025</v>
      </c>
      <c r="E183" s="16" t="s">
        <v>41</v>
      </c>
      <c r="F183" s="19" t="s">
        <v>49</v>
      </c>
      <c r="G183" s="19" t="s">
        <v>299</v>
      </c>
      <c r="H183" s="25" t="n">
        <v>-8950.45</v>
      </c>
      <c r="I183" s="24"/>
    </row>
    <row r="184" customFormat="false" ht="15" hidden="false" customHeight="false" outlineLevel="0" collapsed="false">
      <c r="A184" s="13" t="s">
        <v>300</v>
      </c>
      <c r="B184" s="14" t="n">
        <v>45763</v>
      </c>
      <c r="C184" s="15" t="s">
        <v>267</v>
      </c>
      <c r="D184" s="15" t="n">
        <v>2025</v>
      </c>
      <c r="E184" s="16" t="s">
        <v>41</v>
      </c>
      <c r="F184" s="13" t="s">
        <v>74</v>
      </c>
      <c r="G184" s="13" t="s">
        <v>101</v>
      </c>
      <c r="H184" s="17" t="n">
        <v>-68.38</v>
      </c>
      <c r="I184" s="18"/>
    </row>
    <row r="185" customFormat="false" ht="15" hidden="false" customHeight="false" outlineLevel="0" collapsed="false">
      <c r="A185" s="19" t="s">
        <v>301</v>
      </c>
      <c r="B185" s="20" t="n">
        <v>45764</v>
      </c>
      <c r="C185" s="21" t="s">
        <v>267</v>
      </c>
      <c r="D185" s="21" t="n">
        <v>2025</v>
      </c>
      <c r="E185" s="22" t="s">
        <v>45</v>
      </c>
      <c r="F185" s="19" t="s">
        <v>46</v>
      </c>
      <c r="G185" s="19" t="s">
        <v>70</v>
      </c>
      <c r="H185" s="23" t="n">
        <v>359.03</v>
      </c>
      <c r="I185" s="24"/>
    </row>
    <row r="186" customFormat="false" ht="15" hidden="false" customHeight="false" outlineLevel="0" collapsed="false">
      <c r="A186" s="13" t="s">
        <v>302</v>
      </c>
      <c r="B186" s="14" t="n">
        <v>45765</v>
      </c>
      <c r="C186" s="15" t="s">
        <v>267</v>
      </c>
      <c r="D186" s="15" t="n">
        <v>2025</v>
      </c>
      <c r="E186" s="16" t="s">
        <v>41</v>
      </c>
      <c r="F186" s="13" t="s">
        <v>92</v>
      </c>
      <c r="G186" s="13" t="s">
        <v>134</v>
      </c>
      <c r="H186" s="17" t="n">
        <v>-31.88</v>
      </c>
      <c r="I186" s="18"/>
    </row>
    <row r="187" customFormat="false" ht="15" hidden="false" customHeight="false" outlineLevel="0" collapsed="false">
      <c r="A187" s="19" t="s">
        <v>303</v>
      </c>
      <c r="B187" s="20" t="n">
        <v>45766</v>
      </c>
      <c r="C187" s="21" t="s">
        <v>267</v>
      </c>
      <c r="D187" s="21" t="n">
        <v>2025</v>
      </c>
      <c r="E187" s="22" t="s">
        <v>45</v>
      </c>
      <c r="F187" s="19" t="s">
        <v>46</v>
      </c>
      <c r="G187" s="19" t="s">
        <v>72</v>
      </c>
      <c r="H187" s="23" t="n">
        <v>259.56</v>
      </c>
      <c r="I187" s="24"/>
    </row>
    <row r="188" customFormat="false" ht="15" hidden="false" customHeight="false" outlineLevel="0" collapsed="false">
      <c r="A188" s="13" t="s">
        <v>304</v>
      </c>
      <c r="B188" s="14" t="n">
        <v>45767</v>
      </c>
      <c r="C188" s="15" t="s">
        <v>267</v>
      </c>
      <c r="D188" s="15" t="n">
        <v>2025</v>
      </c>
      <c r="E188" s="16" t="s">
        <v>41</v>
      </c>
      <c r="F188" s="13" t="s">
        <v>74</v>
      </c>
      <c r="G188" s="13" t="s">
        <v>90</v>
      </c>
      <c r="H188" s="17" t="n">
        <v>-242.53</v>
      </c>
      <c r="I188" s="18"/>
    </row>
    <row r="189" customFormat="false" ht="15" hidden="false" customHeight="false" outlineLevel="0" collapsed="false">
      <c r="A189" s="19" t="s">
        <v>305</v>
      </c>
      <c r="B189" s="20" t="n">
        <v>45768</v>
      </c>
      <c r="C189" s="21" t="s">
        <v>267</v>
      </c>
      <c r="D189" s="21" t="n">
        <v>2025</v>
      </c>
      <c r="E189" s="16" t="s">
        <v>41</v>
      </c>
      <c r="F189" s="19" t="s">
        <v>49</v>
      </c>
      <c r="G189" s="19" t="s">
        <v>139</v>
      </c>
      <c r="H189" s="25" t="n">
        <v>-2431.63</v>
      </c>
      <c r="I189" s="24"/>
    </row>
    <row r="190" customFormat="false" ht="15" hidden="false" customHeight="false" outlineLevel="0" collapsed="false">
      <c r="A190" s="13" t="s">
        <v>306</v>
      </c>
      <c r="B190" s="14" t="n">
        <v>45768</v>
      </c>
      <c r="C190" s="15" t="s">
        <v>267</v>
      </c>
      <c r="D190" s="15" t="n">
        <v>2025</v>
      </c>
      <c r="E190" s="16" t="s">
        <v>41</v>
      </c>
      <c r="F190" s="13" t="s">
        <v>107</v>
      </c>
      <c r="G190" s="13" t="s">
        <v>307</v>
      </c>
      <c r="H190" s="17" t="n">
        <v>-90.85</v>
      </c>
      <c r="I190" s="18"/>
    </row>
    <row r="191" customFormat="false" ht="15" hidden="false" customHeight="false" outlineLevel="0" collapsed="false">
      <c r="A191" s="19" t="s">
        <v>308</v>
      </c>
      <c r="B191" s="20" t="n">
        <v>45769</v>
      </c>
      <c r="C191" s="21" t="s">
        <v>267</v>
      </c>
      <c r="D191" s="21" t="n">
        <v>2025</v>
      </c>
      <c r="E191" s="22" t="s">
        <v>45</v>
      </c>
      <c r="F191" s="19" t="s">
        <v>46</v>
      </c>
      <c r="G191" s="19" t="s">
        <v>72</v>
      </c>
      <c r="H191" s="23" t="n">
        <v>829.79</v>
      </c>
      <c r="I191" s="24"/>
    </row>
    <row r="192" customFormat="false" ht="15" hidden="false" customHeight="false" outlineLevel="0" collapsed="false">
      <c r="A192" s="13" t="s">
        <v>309</v>
      </c>
      <c r="B192" s="14" t="n">
        <v>45769</v>
      </c>
      <c r="C192" s="15" t="s">
        <v>267</v>
      </c>
      <c r="D192" s="15" t="n">
        <v>2025</v>
      </c>
      <c r="E192" s="22" t="s">
        <v>45</v>
      </c>
      <c r="F192" s="13" t="s">
        <v>46</v>
      </c>
      <c r="G192" s="13" t="s">
        <v>70</v>
      </c>
      <c r="H192" s="26" t="n">
        <v>107.67</v>
      </c>
      <c r="I192" s="18"/>
    </row>
    <row r="193" customFormat="false" ht="15" hidden="false" customHeight="false" outlineLevel="0" collapsed="false">
      <c r="A193" s="19" t="s">
        <v>310</v>
      </c>
      <c r="B193" s="20" t="n">
        <v>45769</v>
      </c>
      <c r="C193" s="21" t="s">
        <v>267</v>
      </c>
      <c r="D193" s="21" t="n">
        <v>2025</v>
      </c>
      <c r="E193" s="16" t="s">
        <v>41</v>
      </c>
      <c r="F193" s="19" t="s">
        <v>83</v>
      </c>
      <c r="G193" s="19" t="s">
        <v>311</v>
      </c>
      <c r="H193" s="25" t="n">
        <v>-455.68</v>
      </c>
      <c r="I193" s="24"/>
    </row>
    <row r="194" customFormat="false" ht="15" hidden="false" customHeight="false" outlineLevel="0" collapsed="false">
      <c r="A194" s="13" t="s">
        <v>312</v>
      </c>
      <c r="B194" s="14" t="n">
        <v>45770</v>
      </c>
      <c r="C194" s="15" t="s">
        <v>267</v>
      </c>
      <c r="D194" s="15" t="n">
        <v>2025</v>
      </c>
      <c r="E194" s="22" t="s">
        <v>45</v>
      </c>
      <c r="F194" s="13" t="s">
        <v>46</v>
      </c>
      <c r="G194" s="13" t="s">
        <v>77</v>
      </c>
      <c r="H194" s="26" t="n">
        <v>219.55</v>
      </c>
      <c r="I194" s="18"/>
    </row>
    <row r="195" customFormat="false" ht="15" hidden="false" customHeight="false" outlineLevel="0" collapsed="false">
      <c r="A195" s="19" t="s">
        <v>313</v>
      </c>
      <c r="B195" s="20" t="n">
        <v>45771</v>
      </c>
      <c r="C195" s="21" t="s">
        <v>267</v>
      </c>
      <c r="D195" s="21" t="n">
        <v>2025</v>
      </c>
      <c r="E195" s="22" t="s">
        <v>45</v>
      </c>
      <c r="F195" s="19" t="s">
        <v>46</v>
      </c>
      <c r="G195" s="19" t="s">
        <v>72</v>
      </c>
      <c r="H195" s="23" t="n">
        <v>166.27</v>
      </c>
      <c r="I195" s="24"/>
    </row>
    <row r="196" customFormat="false" ht="15" hidden="false" customHeight="false" outlineLevel="0" collapsed="false">
      <c r="A196" s="13" t="s">
        <v>314</v>
      </c>
      <c r="B196" s="14" t="n">
        <v>45772</v>
      </c>
      <c r="C196" s="15" t="s">
        <v>267</v>
      </c>
      <c r="D196" s="15" t="n">
        <v>2025</v>
      </c>
      <c r="E196" s="16" t="s">
        <v>41</v>
      </c>
      <c r="F196" s="13" t="s">
        <v>67</v>
      </c>
      <c r="G196" s="13" t="s">
        <v>132</v>
      </c>
      <c r="H196" s="17" t="n">
        <v>-71.43</v>
      </c>
      <c r="I196" s="18"/>
    </row>
    <row r="197" customFormat="false" ht="15" hidden="false" customHeight="false" outlineLevel="0" collapsed="false">
      <c r="A197" s="19" t="s">
        <v>315</v>
      </c>
      <c r="B197" s="20" t="n">
        <v>45773</v>
      </c>
      <c r="C197" s="21" t="s">
        <v>267</v>
      </c>
      <c r="D197" s="21" t="n">
        <v>2025</v>
      </c>
      <c r="E197" s="22" t="s">
        <v>45</v>
      </c>
      <c r="F197" s="19" t="s">
        <v>46</v>
      </c>
      <c r="G197" s="19" t="s">
        <v>72</v>
      </c>
      <c r="H197" s="23" t="n">
        <v>5470.79</v>
      </c>
      <c r="I197" s="24"/>
    </row>
    <row r="198" customFormat="false" ht="15" hidden="false" customHeight="false" outlineLevel="0" collapsed="false">
      <c r="A198" s="13" t="s">
        <v>316</v>
      </c>
      <c r="B198" s="14" t="n">
        <v>45773</v>
      </c>
      <c r="C198" s="15" t="s">
        <v>267</v>
      </c>
      <c r="D198" s="15" t="n">
        <v>2025</v>
      </c>
      <c r="E198" s="22" t="s">
        <v>45</v>
      </c>
      <c r="F198" s="13" t="s">
        <v>46</v>
      </c>
      <c r="G198" s="13" t="s">
        <v>70</v>
      </c>
      <c r="H198" s="26" t="n">
        <v>1389.62</v>
      </c>
      <c r="I198" s="18"/>
    </row>
    <row r="199" customFormat="false" ht="15" hidden="false" customHeight="false" outlineLevel="0" collapsed="false">
      <c r="A199" s="19" t="s">
        <v>317</v>
      </c>
      <c r="B199" s="20" t="n">
        <v>45773</v>
      </c>
      <c r="C199" s="21" t="s">
        <v>267</v>
      </c>
      <c r="D199" s="21" t="n">
        <v>2025</v>
      </c>
      <c r="E199" s="22" t="s">
        <v>45</v>
      </c>
      <c r="F199" s="19" t="s">
        <v>46</v>
      </c>
      <c r="G199" s="19" t="s">
        <v>79</v>
      </c>
      <c r="H199" s="23" t="n">
        <v>200.02</v>
      </c>
      <c r="I199" s="24"/>
    </row>
    <row r="200" customFormat="false" ht="15" hidden="false" customHeight="false" outlineLevel="0" collapsed="false">
      <c r="A200" s="13" t="s">
        <v>318</v>
      </c>
      <c r="B200" s="14" t="n">
        <v>45773</v>
      </c>
      <c r="C200" s="15" t="s">
        <v>267</v>
      </c>
      <c r="D200" s="15" t="n">
        <v>2025</v>
      </c>
      <c r="E200" s="16" t="s">
        <v>41</v>
      </c>
      <c r="F200" s="13" t="s">
        <v>87</v>
      </c>
      <c r="G200" s="13" t="s">
        <v>113</v>
      </c>
      <c r="H200" s="17" t="n">
        <v>-577.97</v>
      </c>
      <c r="I200" s="18"/>
    </row>
    <row r="201" customFormat="false" ht="15" hidden="false" customHeight="false" outlineLevel="0" collapsed="false">
      <c r="A201" s="19" t="s">
        <v>319</v>
      </c>
      <c r="B201" s="20" t="n">
        <v>45774</v>
      </c>
      <c r="C201" s="21" t="s">
        <v>267</v>
      </c>
      <c r="D201" s="21" t="n">
        <v>2025</v>
      </c>
      <c r="E201" s="22" t="s">
        <v>45</v>
      </c>
      <c r="F201" s="19" t="s">
        <v>46</v>
      </c>
      <c r="G201" s="19" t="s">
        <v>81</v>
      </c>
      <c r="H201" s="23" t="n">
        <v>982.53</v>
      </c>
      <c r="I201" s="24"/>
    </row>
    <row r="202" customFormat="false" ht="15" hidden="false" customHeight="false" outlineLevel="0" collapsed="false">
      <c r="A202" s="13" t="s">
        <v>320</v>
      </c>
      <c r="B202" s="14" t="n">
        <v>45774</v>
      </c>
      <c r="C202" s="15" t="s">
        <v>267</v>
      </c>
      <c r="D202" s="15" t="n">
        <v>2025</v>
      </c>
      <c r="E202" s="22" t="s">
        <v>45</v>
      </c>
      <c r="F202" s="13" t="s">
        <v>46</v>
      </c>
      <c r="G202" s="13" t="s">
        <v>72</v>
      </c>
      <c r="H202" s="26" t="n">
        <v>1327.04</v>
      </c>
      <c r="I202" s="18"/>
    </row>
    <row r="203" customFormat="false" ht="15" hidden="false" customHeight="false" outlineLevel="0" collapsed="false">
      <c r="A203" s="19" t="s">
        <v>321</v>
      </c>
      <c r="B203" s="20" t="n">
        <v>45774</v>
      </c>
      <c r="C203" s="21" t="s">
        <v>267</v>
      </c>
      <c r="D203" s="21" t="n">
        <v>2025</v>
      </c>
      <c r="E203" s="22" t="s">
        <v>45</v>
      </c>
      <c r="F203" s="19" t="s">
        <v>46</v>
      </c>
      <c r="G203" s="19" t="s">
        <v>47</v>
      </c>
      <c r="H203" s="25" t="n">
        <v>-410.720000000002</v>
      </c>
      <c r="I203" s="24"/>
    </row>
    <row r="204" customFormat="false" ht="15" hidden="false" customHeight="false" outlineLevel="0" collapsed="false">
      <c r="A204" s="13" t="s">
        <v>322</v>
      </c>
      <c r="B204" s="14" t="n">
        <v>45775</v>
      </c>
      <c r="C204" s="15" t="s">
        <v>267</v>
      </c>
      <c r="D204" s="15" t="n">
        <v>2025</v>
      </c>
      <c r="E204" s="16" t="s">
        <v>41</v>
      </c>
      <c r="F204" s="13" t="s">
        <v>67</v>
      </c>
      <c r="G204" s="13" t="s">
        <v>68</v>
      </c>
      <c r="H204" s="17" t="n">
        <v>-153.35</v>
      </c>
      <c r="I204" s="18"/>
    </row>
    <row r="205" customFormat="false" ht="15" hidden="false" customHeight="false" outlineLevel="0" collapsed="false">
      <c r="A205" s="19" t="s">
        <v>323</v>
      </c>
      <c r="B205" s="20" t="n">
        <v>45775</v>
      </c>
      <c r="C205" s="21" t="s">
        <v>267</v>
      </c>
      <c r="D205" s="21" t="n">
        <v>2025</v>
      </c>
      <c r="E205" s="16" t="s">
        <v>41</v>
      </c>
      <c r="F205" s="19" t="s">
        <v>92</v>
      </c>
      <c r="G205" s="19" t="s">
        <v>93</v>
      </c>
      <c r="H205" s="25" t="n">
        <v>-49.05</v>
      </c>
      <c r="I205" s="24"/>
    </row>
    <row r="206" customFormat="false" ht="15" hidden="false" customHeight="false" outlineLevel="0" collapsed="false">
      <c r="A206" s="13" t="s">
        <v>324</v>
      </c>
      <c r="B206" s="14" t="n">
        <v>45778</v>
      </c>
      <c r="C206" s="15" t="s">
        <v>325</v>
      </c>
      <c r="D206" s="15" t="n">
        <v>2025</v>
      </c>
      <c r="E206" s="22" t="s">
        <v>45</v>
      </c>
      <c r="F206" s="13" t="s">
        <v>46</v>
      </c>
      <c r="G206" s="13" t="s">
        <v>98</v>
      </c>
      <c r="H206" s="26" t="n">
        <v>23.54</v>
      </c>
      <c r="I206" s="18"/>
    </row>
    <row r="207" customFormat="false" ht="15" hidden="false" customHeight="false" outlineLevel="0" collapsed="false">
      <c r="A207" s="19" t="s">
        <v>326</v>
      </c>
      <c r="B207" s="20" t="n">
        <v>45778</v>
      </c>
      <c r="C207" s="21" t="s">
        <v>325</v>
      </c>
      <c r="D207" s="21" t="n">
        <v>2025</v>
      </c>
      <c r="E207" s="22" t="s">
        <v>45</v>
      </c>
      <c r="F207" s="19" t="s">
        <v>46</v>
      </c>
      <c r="G207" s="19" t="s">
        <v>56</v>
      </c>
      <c r="H207" s="23" t="n">
        <v>126.36</v>
      </c>
      <c r="I207" s="24"/>
    </row>
    <row r="208" customFormat="false" ht="15" hidden="false" customHeight="false" outlineLevel="0" collapsed="false">
      <c r="A208" s="13" t="s">
        <v>327</v>
      </c>
      <c r="B208" s="14" t="n">
        <v>45778</v>
      </c>
      <c r="C208" s="15" t="s">
        <v>325</v>
      </c>
      <c r="D208" s="15" t="n">
        <v>2025</v>
      </c>
      <c r="E208" s="16" t="s">
        <v>41</v>
      </c>
      <c r="F208" s="13" t="s">
        <v>49</v>
      </c>
      <c r="G208" s="13" t="s">
        <v>328</v>
      </c>
      <c r="H208" s="17" t="n">
        <v>-9923.11</v>
      </c>
      <c r="I208" s="18"/>
    </row>
    <row r="209" customFormat="false" ht="15" hidden="false" customHeight="false" outlineLevel="0" collapsed="false">
      <c r="A209" s="19" t="s">
        <v>329</v>
      </c>
      <c r="B209" s="20" t="n">
        <v>45778</v>
      </c>
      <c r="C209" s="21" t="s">
        <v>325</v>
      </c>
      <c r="D209" s="21" t="n">
        <v>2025</v>
      </c>
      <c r="E209" s="16" t="s">
        <v>41</v>
      </c>
      <c r="F209" s="19" t="s">
        <v>61</v>
      </c>
      <c r="G209" s="19" t="s">
        <v>330</v>
      </c>
      <c r="H209" s="25" t="n">
        <v>-79.12</v>
      </c>
      <c r="I209" s="24"/>
    </row>
    <row r="210" customFormat="false" ht="15" hidden="false" customHeight="false" outlineLevel="0" collapsed="false">
      <c r="A210" s="13" t="s">
        <v>331</v>
      </c>
      <c r="B210" s="14" t="n">
        <v>45778</v>
      </c>
      <c r="C210" s="15" t="s">
        <v>325</v>
      </c>
      <c r="D210" s="15" t="n">
        <v>2025</v>
      </c>
      <c r="E210" s="16" t="s">
        <v>41</v>
      </c>
      <c r="F210" s="13" t="s">
        <v>64</v>
      </c>
      <c r="G210" s="13" t="s">
        <v>332</v>
      </c>
      <c r="H210" s="17" t="n">
        <v>-121.35</v>
      </c>
      <c r="I210" s="18"/>
    </row>
    <row r="211" customFormat="false" ht="15" hidden="false" customHeight="false" outlineLevel="0" collapsed="false">
      <c r="A211" s="19" t="s">
        <v>333</v>
      </c>
      <c r="B211" s="20" t="n">
        <v>45780</v>
      </c>
      <c r="C211" s="21" t="s">
        <v>325</v>
      </c>
      <c r="D211" s="21" t="n">
        <v>2025</v>
      </c>
      <c r="E211" s="22" t="s">
        <v>45</v>
      </c>
      <c r="F211" s="19" t="s">
        <v>46</v>
      </c>
      <c r="G211" s="19" t="s">
        <v>231</v>
      </c>
      <c r="H211" s="23" t="n">
        <v>382.23</v>
      </c>
      <c r="I211" s="24"/>
    </row>
    <row r="212" customFormat="false" ht="15" hidden="false" customHeight="false" outlineLevel="0" collapsed="false">
      <c r="A212" s="13" t="s">
        <v>334</v>
      </c>
      <c r="B212" s="14" t="n">
        <v>45780</v>
      </c>
      <c r="C212" s="15" t="s">
        <v>325</v>
      </c>
      <c r="D212" s="15" t="n">
        <v>2025</v>
      </c>
      <c r="E212" s="22" t="s">
        <v>45</v>
      </c>
      <c r="F212" s="13" t="s">
        <v>46</v>
      </c>
      <c r="G212" s="13" t="s">
        <v>77</v>
      </c>
      <c r="H212" s="26" t="n">
        <v>217.91</v>
      </c>
      <c r="I212" s="18"/>
    </row>
    <row r="213" customFormat="false" ht="15" hidden="false" customHeight="false" outlineLevel="0" collapsed="false">
      <c r="A213" s="19" t="s">
        <v>335</v>
      </c>
      <c r="B213" s="20" t="n">
        <v>45781</v>
      </c>
      <c r="C213" s="21" t="s">
        <v>325</v>
      </c>
      <c r="D213" s="21" t="n">
        <v>2025</v>
      </c>
      <c r="E213" s="16" t="s">
        <v>41</v>
      </c>
      <c r="F213" s="19" t="s">
        <v>42</v>
      </c>
      <c r="G213" s="19" t="s">
        <v>336</v>
      </c>
      <c r="H213" s="25" t="n">
        <v>-1475.04</v>
      </c>
      <c r="I213" s="24"/>
    </row>
    <row r="214" customFormat="false" ht="15" hidden="false" customHeight="false" outlineLevel="0" collapsed="false">
      <c r="A214" s="13" t="s">
        <v>337</v>
      </c>
      <c r="B214" s="14" t="n">
        <v>45781</v>
      </c>
      <c r="C214" s="15" t="s">
        <v>325</v>
      </c>
      <c r="D214" s="15" t="n">
        <v>2025</v>
      </c>
      <c r="E214" s="16" t="s">
        <v>41</v>
      </c>
      <c r="F214" s="13" t="s">
        <v>58</v>
      </c>
      <c r="G214" s="13" t="s">
        <v>338</v>
      </c>
      <c r="H214" s="17" t="n">
        <v>-2167.94</v>
      </c>
      <c r="I214" s="18"/>
    </row>
    <row r="215" customFormat="false" ht="15" hidden="false" customHeight="false" outlineLevel="0" collapsed="false">
      <c r="A215" s="19" t="s">
        <v>339</v>
      </c>
      <c r="B215" s="20" t="n">
        <v>45781</v>
      </c>
      <c r="C215" s="21" t="s">
        <v>325</v>
      </c>
      <c r="D215" s="21" t="n">
        <v>2025</v>
      </c>
      <c r="E215" s="16" t="s">
        <v>41</v>
      </c>
      <c r="F215" s="19" t="s">
        <v>92</v>
      </c>
      <c r="G215" s="19" t="s">
        <v>134</v>
      </c>
      <c r="H215" s="25" t="n">
        <v>-32.59</v>
      </c>
      <c r="I215" s="24"/>
    </row>
    <row r="216" customFormat="false" ht="15" hidden="false" customHeight="false" outlineLevel="0" collapsed="false">
      <c r="A216" s="13" t="s">
        <v>340</v>
      </c>
      <c r="B216" s="14" t="n">
        <v>45782</v>
      </c>
      <c r="C216" s="15" t="s">
        <v>325</v>
      </c>
      <c r="D216" s="15" t="n">
        <v>2025</v>
      </c>
      <c r="E216" s="16" t="s">
        <v>41</v>
      </c>
      <c r="F216" s="13" t="s">
        <v>53</v>
      </c>
      <c r="G216" s="13" t="s">
        <v>341</v>
      </c>
      <c r="H216" s="17" t="n">
        <v>-152.04</v>
      </c>
      <c r="I216" s="18"/>
    </row>
    <row r="217" customFormat="false" ht="15" hidden="false" customHeight="false" outlineLevel="0" collapsed="false">
      <c r="A217" s="19" t="s">
        <v>342</v>
      </c>
      <c r="B217" s="20" t="n">
        <v>45784</v>
      </c>
      <c r="C217" s="21" t="s">
        <v>325</v>
      </c>
      <c r="D217" s="21" t="n">
        <v>2025</v>
      </c>
      <c r="E217" s="22" t="s">
        <v>45</v>
      </c>
      <c r="F217" s="19" t="s">
        <v>46</v>
      </c>
      <c r="G217" s="19" t="s">
        <v>77</v>
      </c>
      <c r="H217" s="23" t="n">
        <v>160.45</v>
      </c>
      <c r="I217" s="24"/>
    </row>
    <row r="218" customFormat="false" ht="15" hidden="false" customHeight="false" outlineLevel="0" collapsed="false">
      <c r="A218" s="13" t="s">
        <v>343</v>
      </c>
      <c r="B218" s="14" t="n">
        <v>45784</v>
      </c>
      <c r="C218" s="15" t="s">
        <v>325</v>
      </c>
      <c r="D218" s="15" t="n">
        <v>2025</v>
      </c>
      <c r="E218" s="16" t="s">
        <v>41</v>
      </c>
      <c r="F218" s="13" t="s">
        <v>83</v>
      </c>
      <c r="G218" s="13" t="s">
        <v>126</v>
      </c>
      <c r="H218" s="17" t="n">
        <v>-103.24</v>
      </c>
      <c r="I218" s="18"/>
    </row>
    <row r="219" customFormat="false" ht="15" hidden="false" customHeight="false" outlineLevel="0" collapsed="false">
      <c r="A219" s="19" t="s">
        <v>344</v>
      </c>
      <c r="B219" s="20" t="n">
        <v>45784</v>
      </c>
      <c r="C219" s="21" t="s">
        <v>325</v>
      </c>
      <c r="D219" s="21" t="n">
        <v>2025</v>
      </c>
      <c r="E219" s="16" t="s">
        <v>41</v>
      </c>
      <c r="F219" s="19" t="s">
        <v>67</v>
      </c>
      <c r="G219" s="19" t="s">
        <v>345</v>
      </c>
      <c r="H219" s="25" t="n">
        <v>-212.83</v>
      </c>
      <c r="I219" s="24"/>
    </row>
    <row r="220" customFormat="false" ht="15" hidden="false" customHeight="false" outlineLevel="0" collapsed="false">
      <c r="A220" s="13" t="s">
        <v>346</v>
      </c>
      <c r="B220" s="14" t="n">
        <v>45785</v>
      </c>
      <c r="C220" s="15" t="s">
        <v>325</v>
      </c>
      <c r="D220" s="15" t="n">
        <v>2025</v>
      </c>
      <c r="E220" s="22" t="s">
        <v>45</v>
      </c>
      <c r="F220" s="13" t="s">
        <v>46</v>
      </c>
      <c r="G220" s="13" t="s">
        <v>104</v>
      </c>
      <c r="H220" s="26" t="n">
        <v>458.76</v>
      </c>
      <c r="I220" s="18"/>
    </row>
    <row r="221" customFormat="false" ht="15" hidden="false" customHeight="false" outlineLevel="0" collapsed="false">
      <c r="A221" s="19" t="s">
        <v>347</v>
      </c>
      <c r="B221" s="20" t="n">
        <v>45785</v>
      </c>
      <c r="C221" s="21" t="s">
        <v>325</v>
      </c>
      <c r="D221" s="21" t="n">
        <v>2025</v>
      </c>
      <c r="E221" s="22" t="s">
        <v>45</v>
      </c>
      <c r="F221" s="19" t="s">
        <v>46</v>
      </c>
      <c r="G221" s="19" t="s">
        <v>81</v>
      </c>
      <c r="H221" s="25" t="n">
        <v>-29.59</v>
      </c>
      <c r="I221" s="24"/>
    </row>
    <row r="222" customFormat="false" ht="15" hidden="false" customHeight="false" outlineLevel="0" collapsed="false">
      <c r="A222" s="13" t="s">
        <v>348</v>
      </c>
      <c r="B222" s="14" t="n">
        <v>45786</v>
      </c>
      <c r="C222" s="15" t="s">
        <v>325</v>
      </c>
      <c r="D222" s="15" t="n">
        <v>2025</v>
      </c>
      <c r="E222" s="22" t="s">
        <v>45</v>
      </c>
      <c r="F222" s="13" t="s">
        <v>46</v>
      </c>
      <c r="G222" s="13" t="s">
        <v>79</v>
      </c>
      <c r="H222" s="26" t="n">
        <v>866.89</v>
      </c>
      <c r="I222" s="18"/>
    </row>
    <row r="223" customFormat="false" ht="15" hidden="false" customHeight="false" outlineLevel="0" collapsed="false">
      <c r="A223" s="19" t="s">
        <v>349</v>
      </c>
      <c r="B223" s="20" t="n">
        <v>45786</v>
      </c>
      <c r="C223" s="21" t="s">
        <v>325</v>
      </c>
      <c r="D223" s="21" t="n">
        <v>2025</v>
      </c>
      <c r="E223" s="16" t="s">
        <v>41</v>
      </c>
      <c r="F223" s="19" t="s">
        <v>87</v>
      </c>
      <c r="G223" s="19" t="s">
        <v>113</v>
      </c>
      <c r="H223" s="25" t="n">
        <v>-587.38</v>
      </c>
      <c r="I223" s="24"/>
    </row>
    <row r="224" customFormat="false" ht="15" hidden="false" customHeight="false" outlineLevel="0" collapsed="false">
      <c r="A224" s="13" t="s">
        <v>350</v>
      </c>
      <c r="B224" s="14" t="n">
        <v>45788</v>
      </c>
      <c r="C224" s="15" t="s">
        <v>325</v>
      </c>
      <c r="D224" s="15" t="n">
        <v>2025</v>
      </c>
      <c r="E224" s="22" t="s">
        <v>45</v>
      </c>
      <c r="F224" s="13" t="s">
        <v>46</v>
      </c>
      <c r="G224" s="13" t="s">
        <v>56</v>
      </c>
      <c r="H224" s="26" t="n">
        <v>266.61</v>
      </c>
      <c r="I224" s="18"/>
    </row>
    <row r="225" customFormat="false" ht="15" hidden="false" customHeight="false" outlineLevel="0" collapsed="false">
      <c r="A225" s="19" t="s">
        <v>351</v>
      </c>
      <c r="B225" s="20" t="n">
        <v>45788</v>
      </c>
      <c r="C225" s="21" t="s">
        <v>325</v>
      </c>
      <c r="D225" s="21" t="n">
        <v>2025</v>
      </c>
      <c r="E225" s="22" t="s">
        <v>45</v>
      </c>
      <c r="F225" s="19" t="s">
        <v>46</v>
      </c>
      <c r="G225" s="19" t="s">
        <v>77</v>
      </c>
      <c r="H225" s="23" t="n">
        <v>190.72</v>
      </c>
      <c r="I225" s="24"/>
    </row>
    <row r="226" customFormat="false" ht="15" hidden="false" customHeight="false" outlineLevel="0" collapsed="false">
      <c r="A226" s="13" t="s">
        <v>352</v>
      </c>
      <c r="B226" s="14" t="n">
        <v>45789</v>
      </c>
      <c r="C226" s="15" t="s">
        <v>325</v>
      </c>
      <c r="D226" s="15" t="n">
        <v>2025</v>
      </c>
      <c r="E226" s="16" t="s">
        <v>41</v>
      </c>
      <c r="F226" s="13" t="s">
        <v>107</v>
      </c>
      <c r="G226" s="13" t="s">
        <v>353</v>
      </c>
      <c r="H226" s="17" t="n">
        <v>-108</v>
      </c>
      <c r="I226" s="18"/>
    </row>
    <row r="227" customFormat="false" ht="15" hidden="false" customHeight="false" outlineLevel="0" collapsed="false">
      <c r="A227" s="19" t="s">
        <v>354</v>
      </c>
      <c r="B227" s="20" t="n">
        <v>45790</v>
      </c>
      <c r="C227" s="21" t="s">
        <v>325</v>
      </c>
      <c r="D227" s="21" t="n">
        <v>2025</v>
      </c>
      <c r="E227" s="22" t="s">
        <v>45</v>
      </c>
      <c r="F227" s="19" t="s">
        <v>46</v>
      </c>
      <c r="G227" s="19" t="s">
        <v>231</v>
      </c>
      <c r="H227" s="23" t="n">
        <v>213.48</v>
      </c>
      <c r="I227" s="24"/>
    </row>
    <row r="228" customFormat="false" ht="15" hidden="false" customHeight="false" outlineLevel="0" collapsed="false">
      <c r="A228" s="13" t="s">
        <v>355</v>
      </c>
      <c r="B228" s="14" t="n">
        <v>45790</v>
      </c>
      <c r="C228" s="15" t="s">
        <v>325</v>
      </c>
      <c r="D228" s="15" t="n">
        <v>2025</v>
      </c>
      <c r="E228" s="22" t="s">
        <v>45</v>
      </c>
      <c r="F228" s="13" t="s">
        <v>46</v>
      </c>
      <c r="G228" s="13" t="s">
        <v>77</v>
      </c>
      <c r="H228" s="26" t="n">
        <v>130.87</v>
      </c>
      <c r="I228" s="18"/>
    </row>
    <row r="229" customFormat="false" ht="15" hidden="false" customHeight="false" outlineLevel="0" collapsed="false">
      <c r="A229" s="19" t="s">
        <v>356</v>
      </c>
      <c r="B229" s="20" t="n">
        <v>45791</v>
      </c>
      <c r="C229" s="21" t="s">
        <v>325</v>
      </c>
      <c r="D229" s="21" t="n">
        <v>2025</v>
      </c>
      <c r="E229" s="22" t="s">
        <v>45</v>
      </c>
      <c r="F229" s="19" t="s">
        <v>46</v>
      </c>
      <c r="G229" s="19" t="s">
        <v>81</v>
      </c>
      <c r="H229" s="23" t="n">
        <v>138.97</v>
      </c>
      <c r="I229" s="24"/>
    </row>
    <row r="230" customFormat="false" ht="15" hidden="false" customHeight="false" outlineLevel="0" collapsed="false">
      <c r="A230" s="13" t="s">
        <v>357</v>
      </c>
      <c r="B230" s="14" t="n">
        <v>45791</v>
      </c>
      <c r="C230" s="15" t="s">
        <v>325</v>
      </c>
      <c r="D230" s="15" t="n">
        <v>2025</v>
      </c>
      <c r="E230" s="16" t="s">
        <v>41</v>
      </c>
      <c r="F230" s="13" t="s">
        <v>87</v>
      </c>
      <c r="G230" s="13" t="s">
        <v>130</v>
      </c>
      <c r="H230" s="17" t="n">
        <v>-287.61</v>
      </c>
      <c r="I230" s="18"/>
    </row>
    <row r="231" customFormat="false" ht="15" hidden="false" customHeight="false" outlineLevel="0" collapsed="false">
      <c r="A231" s="19" t="s">
        <v>358</v>
      </c>
      <c r="B231" s="20" t="n">
        <v>45792</v>
      </c>
      <c r="C231" s="21" t="s">
        <v>325</v>
      </c>
      <c r="D231" s="21" t="n">
        <v>2025</v>
      </c>
      <c r="E231" s="22" t="s">
        <v>45</v>
      </c>
      <c r="F231" s="19" t="s">
        <v>46</v>
      </c>
      <c r="G231" s="19" t="s">
        <v>79</v>
      </c>
      <c r="H231" s="23" t="n">
        <v>985.37</v>
      </c>
      <c r="I231" s="24"/>
    </row>
    <row r="232" customFormat="false" ht="15" hidden="false" customHeight="false" outlineLevel="0" collapsed="false">
      <c r="A232" s="13" t="s">
        <v>359</v>
      </c>
      <c r="B232" s="14" t="n">
        <v>45792</v>
      </c>
      <c r="C232" s="15" t="s">
        <v>325</v>
      </c>
      <c r="D232" s="15" t="n">
        <v>2025</v>
      </c>
      <c r="E232" s="22" t="s">
        <v>45</v>
      </c>
      <c r="F232" s="13" t="s">
        <v>46</v>
      </c>
      <c r="G232" s="13" t="s">
        <v>98</v>
      </c>
      <c r="H232" s="26" t="n">
        <v>3882.73</v>
      </c>
      <c r="I232" s="18"/>
    </row>
    <row r="233" customFormat="false" ht="15" hidden="false" customHeight="false" outlineLevel="0" collapsed="false">
      <c r="A233" s="19" t="s">
        <v>360</v>
      </c>
      <c r="B233" s="20" t="n">
        <v>45792</v>
      </c>
      <c r="C233" s="21" t="s">
        <v>325</v>
      </c>
      <c r="D233" s="21" t="n">
        <v>2025</v>
      </c>
      <c r="E233" s="16" t="s">
        <v>41</v>
      </c>
      <c r="F233" s="19" t="s">
        <v>83</v>
      </c>
      <c r="G233" s="19" t="s">
        <v>96</v>
      </c>
      <c r="H233" s="25" t="n">
        <v>-471.69</v>
      </c>
      <c r="I233" s="24"/>
    </row>
    <row r="234" customFormat="false" ht="15" hidden="false" customHeight="false" outlineLevel="0" collapsed="false">
      <c r="A234" s="13" t="s">
        <v>361</v>
      </c>
      <c r="B234" s="14" t="n">
        <v>45794</v>
      </c>
      <c r="C234" s="15" t="s">
        <v>325</v>
      </c>
      <c r="D234" s="15" t="n">
        <v>2025</v>
      </c>
      <c r="E234" s="22" t="s">
        <v>45</v>
      </c>
      <c r="F234" s="13" t="s">
        <v>46</v>
      </c>
      <c r="G234" s="13" t="s">
        <v>77</v>
      </c>
      <c r="H234" s="26" t="n">
        <v>2409.95</v>
      </c>
      <c r="I234" s="18"/>
    </row>
    <row r="235" customFormat="false" ht="15" hidden="false" customHeight="false" outlineLevel="0" collapsed="false">
      <c r="A235" s="19" t="s">
        <v>362</v>
      </c>
      <c r="B235" s="20" t="n">
        <v>45795</v>
      </c>
      <c r="C235" s="21" t="s">
        <v>325</v>
      </c>
      <c r="D235" s="21" t="n">
        <v>2025</v>
      </c>
      <c r="E235" s="22" t="s">
        <v>45</v>
      </c>
      <c r="F235" s="19" t="s">
        <v>46</v>
      </c>
      <c r="G235" s="19" t="s">
        <v>81</v>
      </c>
      <c r="H235" s="23" t="n">
        <v>1851.66</v>
      </c>
      <c r="I235" s="24"/>
    </row>
    <row r="236" customFormat="false" ht="15" hidden="false" customHeight="false" outlineLevel="0" collapsed="false">
      <c r="A236" s="13" t="s">
        <v>363</v>
      </c>
      <c r="B236" s="14" t="n">
        <v>45795</v>
      </c>
      <c r="C236" s="15" t="s">
        <v>325</v>
      </c>
      <c r="D236" s="15" t="n">
        <v>2025</v>
      </c>
      <c r="E236" s="22" t="s">
        <v>45</v>
      </c>
      <c r="F236" s="13" t="s">
        <v>46</v>
      </c>
      <c r="G236" s="13" t="s">
        <v>81</v>
      </c>
      <c r="H236" s="26" t="n">
        <v>183.69</v>
      </c>
      <c r="I236" s="18"/>
    </row>
    <row r="237" customFormat="false" ht="15" hidden="false" customHeight="false" outlineLevel="0" collapsed="false">
      <c r="A237" s="19" t="s">
        <v>364</v>
      </c>
      <c r="B237" s="20" t="n">
        <v>45796</v>
      </c>
      <c r="C237" s="21" t="s">
        <v>325</v>
      </c>
      <c r="D237" s="21" t="n">
        <v>2025</v>
      </c>
      <c r="E237" s="16" t="s">
        <v>41</v>
      </c>
      <c r="F237" s="19" t="s">
        <v>49</v>
      </c>
      <c r="G237" s="19" t="s">
        <v>139</v>
      </c>
      <c r="H237" s="25" t="n">
        <v>-4044.83</v>
      </c>
      <c r="I237" s="24"/>
    </row>
    <row r="238" customFormat="false" ht="15" hidden="false" customHeight="false" outlineLevel="0" collapsed="false">
      <c r="A238" s="13" t="s">
        <v>365</v>
      </c>
      <c r="B238" s="14" t="n">
        <v>45796</v>
      </c>
      <c r="C238" s="15" t="s">
        <v>325</v>
      </c>
      <c r="D238" s="15" t="n">
        <v>2025</v>
      </c>
      <c r="E238" s="16" t="s">
        <v>41</v>
      </c>
      <c r="F238" s="13" t="s">
        <v>49</v>
      </c>
      <c r="G238" s="13" t="s">
        <v>50</v>
      </c>
      <c r="H238" s="17" t="n">
        <v>-4200.84</v>
      </c>
      <c r="I238" s="18"/>
    </row>
    <row r="239" customFormat="false" ht="15" hidden="false" customHeight="false" outlineLevel="0" collapsed="false">
      <c r="A239" s="19" t="s">
        <v>366</v>
      </c>
      <c r="B239" s="20" t="n">
        <v>45796</v>
      </c>
      <c r="C239" s="21" t="s">
        <v>325</v>
      </c>
      <c r="D239" s="21" t="n">
        <v>2025</v>
      </c>
      <c r="E239" s="16" t="s">
        <v>41</v>
      </c>
      <c r="F239" s="19" t="s">
        <v>92</v>
      </c>
      <c r="G239" s="19" t="s">
        <v>136</v>
      </c>
      <c r="H239" s="25" t="n">
        <v>-121.89</v>
      </c>
      <c r="I239" s="24"/>
    </row>
    <row r="240" customFormat="false" ht="15" hidden="false" customHeight="false" outlineLevel="0" collapsed="false">
      <c r="A240" s="13" t="s">
        <v>367</v>
      </c>
      <c r="B240" s="14" t="n">
        <v>45797</v>
      </c>
      <c r="C240" s="15" t="s">
        <v>325</v>
      </c>
      <c r="D240" s="15" t="n">
        <v>2025</v>
      </c>
      <c r="E240" s="22" t="s">
        <v>45</v>
      </c>
      <c r="F240" s="13" t="s">
        <v>46</v>
      </c>
      <c r="G240" s="13" t="s">
        <v>56</v>
      </c>
      <c r="H240" s="26" t="n">
        <v>5726.65</v>
      </c>
      <c r="I240" s="18"/>
    </row>
    <row r="241" customFormat="false" ht="15" hidden="false" customHeight="false" outlineLevel="0" collapsed="false">
      <c r="A241" s="19" t="s">
        <v>368</v>
      </c>
      <c r="B241" s="20" t="n">
        <v>45799</v>
      </c>
      <c r="C241" s="21" t="s">
        <v>325</v>
      </c>
      <c r="D241" s="21" t="n">
        <v>2025</v>
      </c>
      <c r="E241" s="16" t="s">
        <v>41</v>
      </c>
      <c r="F241" s="19" t="s">
        <v>49</v>
      </c>
      <c r="G241" s="19" t="s">
        <v>299</v>
      </c>
      <c r="H241" s="25" t="n">
        <v>-3062.02</v>
      </c>
      <c r="I241" s="24"/>
    </row>
    <row r="242" customFormat="false" ht="15" hidden="false" customHeight="false" outlineLevel="0" collapsed="false">
      <c r="A242" s="13" t="s">
        <v>369</v>
      </c>
      <c r="B242" s="14" t="n">
        <v>45800</v>
      </c>
      <c r="C242" s="15" t="s">
        <v>325</v>
      </c>
      <c r="D242" s="15" t="n">
        <v>2025</v>
      </c>
      <c r="E242" s="22" t="s">
        <v>45</v>
      </c>
      <c r="F242" s="13" t="s">
        <v>46</v>
      </c>
      <c r="G242" s="13" t="s">
        <v>104</v>
      </c>
      <c r="H242" s="26" t="n">
        <v>374.34</v>
      </c>
      <c r="I242" s="18"/>
    </row>
    <row r="243" customFormat="false" ht="15" hidden="false" customHeight="false" outlineLevel="0" collapsed="false">
      <c r="A243" s="19" t="s">
        <v>370</v>
      </c>
      <c r="B243" s="20" t="n">
        <v>45801</v>
      </c>
      <c r="C243" s="21" t="s">
        <v>325</v>
      </c>
      <c r="D243" s="21" t="n">
        <v>2025</v>
      </c>
      <c r="E243" s="22" t="s">
        <v>45</v>
      </c>
      <c r="F243" s="19" t="s">
        <v>46</v>
      </c>
      <c r="G243" s="19" t="s">
        <v>81</v>
      </c>
      <c r="H243" s="23" t="n">
        <v>1485.78</v>
      </c>
      <c r="I243" s="24"/>
    </row>
    <row r="244" customFormat="false" ht="15" hidden="false" customHeight="false" outlineLevel="0" collapsed="false">
      <c r="A244" s="13" t="s">
        <v>371</v>
      </c>
      <c r="B244" s="14" t="n">
        <v>45801</v>
      </c>
      <c r="C244" s="15" t="s">
        <v>325</v>
      </c>
      <c r="D244" s="15" t="n">
        <v>2025</v>
      </c>
      <c r="E244" s="22" t="s">
        <v>45</v>
      </c>
      <c r="F244" s="13" t="s">
        <v>46</v>
      </c>
      <c r="G244" s="13" t="s">
        <v>79</v>
      </c>
      <c r="H244" s="26" t="n">
        <v>54.27</v>
      </c>
      <c r="I244" s="18"/>
    </row>
    <row r="245" customFormat="false" ht="15" hidden="false" customHeight="false" outlineLevel="0" collapsed="false">
      <c r="A245" s="19" t="s">
        <v>372</v>
      </c>
      <c r="B245" s="20" t="n">
        <v>45801</v>
      </c>
      <c r="C245" s="21" t="s">
        <v>325</v>
      </c>
      <c r="D245" s="21" t="n">
        <v>2025</v>
      </c>
      <c r="E245" s="22" t="s">
        <v>45</v>
      </c>
      <c r="F245" s="19" t="s">
        <v>46</v>
      </c>
      <c r="G245" s="19" t="s">
        <v>231</v>
      </c>
      <c r="H245" s="25" t="n">
        <v>-590.219999999998</v>
      </c>
      <c r="I245" s="24"/>
    </row>
    <row r="246" customFormat="false" ht="15" hidden="false" customHeight="false" outlineLevel="0" collapsed="false">
      <c r="A246" s="13" t="s">
        <v>373</v>
      </c>
      <c r="B246" s="14" t="n">
        <v>45801</v>
      </c>
      <c r="C246" s="15" t="s">
        <v>325</v>
      </c>
      <c r="D246" s="15" t="n">
        <v>2025</v>
      </c>
      <c r="E246" s="16" t="s">
        <v>41</v>
      </c>
      <c r="F246" s="13" t="s">
        <v>74</v>
      </c>
      <c r="G246" s="13" t="s">
        <v>374</v>
      </c>
      <c r="H246" s="17" t="n">
        <v>-284.09</v>
      </c>
      <c r="I246" s="18"/>
    </row>
    <row r="247" customFormat="false" ht="15" hidden="false" customHeight="false" outlineLevel="0" collapsed="false">
      <c r="A247" s="19" t="s">
        <v>375</v>
      </c>
      <c r="B247" s="20" t="n">
        <v>45802</v>
      </c>
      <c r="C247" s="21" t="s">
        <v>325</v>
      </c>
      <c r="D247" s="21" t="n">
        <v>2025</v>
      </c>
      <c r="E247" s="22" t="s">
        <v>45</v>
      </c>
      <c r="F247" s="19" t="s">
        <v>46</v>
      </c>
      <c r="G247" s="19" t="s">
        <v>72</v>
      </c>
      <c r="H247" s="23" t="n">
        <v>644.38</v>
      </c>
      <c r="I247" s="24"/>
    </row>
    <row r="248" customFormat="false" ht="15" hidden="false" customHeight="false" outlineLevel="0" collapsed="false">
      <c r="A248" s="13" t="s">
        <v>376</v>
      </c>
      <c r="B248" s="14" t="n">
        <v>45802</v>
      </c>
      <c r="C248" s="15" t="s">
        <v>325</v>
      </c>
      <c r="D248" s="15" t="n">
        <v>2025</v>
      </c>
      <c r="E248" s="22" t="s">
        <v>45</v>
      </c>
      <c r="F248" s="13" t="s">
        <v>46</v>
      </c>
      <c r="G248" s="13" t="s">
        <v>98</v>
      </c>
      <c r="H248" s="26" t="n">
        <v>144.2</v>
      </c>
      <c r="I248" s="18"/>
    </row>
    <row r="249" customFormat="false" ht="15" hidden="false" customHeight="false" outlineLevel="0" collapsed="false">
      <c r="A249" s="19" t="s">
        <v>377</v>
      </c>
      <c r="B249" s="20" t="n">
        <v>45804</v>
      </c>
      <c r="C249" s="21" t="s">
        <v>325</v>
      </c>
      <c r="D249" s="21" t="n">
        <v>2025</v>
      </c>
      <c r="E249" s="16" t="s">
        <v>41</v>
      </c>
      <c r="F249" s="19" t="s">
        <v>87</v>
      </c>
      <c r="G249" s="19" t="s">
        <v>88</v>
      </c>
      <c r="H249" s="25" t="n">
        <v>-186.78</v>
      </c>
      <c r="I249" s="24"/>
    </row>
    <row r="250" customFormat="false" ht="15" hidden="false" customHeight="false" outlineLevel="0" collapsed="false">
      <c r="A250" s="13" t="s">
        <v>378</v>
      </c>
      <c r="B250" s="14" t="n">
        <v>45809</v>
      </c>
      <c r="C250" s="15" t="s">
        <v>379</v>
      </c>
      <c r="D250" s="15" t="n">
        <v>2025</v>
      </c>
      <c r="E250" s="22" t="s">
        <v>45</v>
      </c>
      <c r="F250" s="13" t="s">
        <v>46</v>
      </c>
      <c r="G250" s="13" t="s">
        <v>104</v>
      </c>
      <c r="H250" s="26" t="n">
        <v>531.92</v>
      </c>
      <c r="I250" s="18"/>
    </row>
    <row r="251" customFormat="false" ht="15" hidden="false" customHeight="false" outlineLevel="0" collapsed="false">
      <c r="A251" s="19" t="s">
        <v>380</v>
      </c>
      <c r="B251" s="20" t="n">
        <v>45809</v>
      </c>
      <c r="C251" s="21" t="s">
        <v>379</v>
      </c>
      <c r="D251" s="21" t="n">
        <v>2025</v>
      </c>
      <c r="E251" s="16" t="s">
        <v>41</v>
      </c>
      <c r="F251" s="19" t="s">
        <v>87</v>
      </c>
      <c r="G251" s="19" t="s">
        <v>113</v>
      </c>
      <c r="H251" s="25" t="n">
        <v>-212.55</v>
      </c>
      <c r="I251" s="24"/>
    </row>
    <row r="252" customFormat="false" ht="15" hidden="false" customHeight="false" outlineLevel="0" collapsed="false">
      <c r="A252" s="13" t="s">
        <v>381</v>
      </c>
      <c r="B252" s="14" t="n">
        <v>45810</v>
      </c>
      <c r="C252" s="15" t="s">
        <v>379</v>
      </c>
      <c r="D252" s="15" t="n">
        <v>2025</v>
      </c>
      <c r="E252" s="16" t="s">
        <v>41</v>
      </c>
      <c r="F252" s="13" t="s">
        <v>61</v>
      </c>
      <c r="G252" s="13" t="s">
        <v>382</v>
      </c>
      <c r="H252" s="17" t="n">
        <v>-79.38</v>
      </c>
      <c r="I252" s="18"/>
    </row>
    <row r="253" customFormat="false" ht="15" hidden="false" customHeight="false" outlineLevel="0" collapsed="false">
      <c r="A253" s="19" t="s">
        <v>383</v>
      </c>
      <c r="B253" s="20" t="n">
        <v>45810</v>
      </c>
      <c r="C253" s="21" t="s">
        <v>379</v>
      </c>
      <c r="D253" s="21" t="n">
        <v>2025</v>
      </c>
      <c r="E253" s="16" t="s">
        <v>41</v>
      </c>
      <c r="F253" s="19" t="s">
        <v>64</v>
      </c>
      <c r="G253" s="19" t="s">
        <v>384</v>
      </c>
      <c r="H253" s="25" t="n">
        <v>-118.18</v>
      </c>
      <c r="I253" s="24"/>
    </row>
    <row r="254" customFormat="false" ht="15" hidden="false" customHeight="false" outlineLevel="0" collapsed="false">
      <c r="A254" s="13" t="s">
        <v>385</v>
      </c>
      <c r="B254" s="14" t="n">
        <v>45811</v>
      </c>
      <c r="C254" s="15" t="s">
        <v>379</v>
      </c>
      <c r="D254" s="15" t="n">
        <v>2025</v>
      </c>
      <c r="E254" s="22" t="s">
        <v>45</v>
      </c>
      <c r="F254" s="13" t="s">
        <v>46</v>
      </c>
      <c r="G254" s="13" t="s">
        <v>104</v>
      </c>
      <c r="H254" s="26" t="n">
        <v>87.6</v>
      </c>
      <c r="I254" s="18"/>
    </row>
    <row r="255" customFormat="false" ht="15" hidden="false" customHeight="false" outlineLevel="0" collapsed="false">
      <c r="A255" s="19" t="s">
        <v>386</v>
      </c>
      <c r="B255" s="20" t="n">
        <v>45811</v>
      </c>
      <c r="C255" s="21" t="s">
        <v>379</v>
      </c>
      <c r="D255" s="21" t="n">
        <v>2025</v>
      </c>
      <c r="E255" s="16" t="s">
        <v>41</v>
      </c>
      <c r="F255" s="19" t="s">
        <v>42</v>
      </c>
      <c r="G255" s="19" t="s">
        <v>387</v>
      </c>
      <c r="H255" s="25" t="n">
        <v>-1491.29</v>
      </c>
      <c r="I255" s="24"/>
    </row>
    <row r="256" customFormat="false" ht="15" hidden="false" customHeight="false" outlineLevel="0" collapsed="false">
      <c r="A256" s="13" t="s">
        <v>388</v>
      </c>
      <c r="B256" s="14" t="n">
        <v>45811</v>
      </c>
      <c r="C256" s="15" t="s">
        <v>379</v>
      </c>
      <c r="D256" s="15" t="n">
        <v>2025</v>
      </c>
      <c r="E256" s="16" t="s">
        <v>41</v>
      </c>
      <c r="F256" s="13" t="s">
        <v>87</v>
      </c>
      <c r="G256" s="13" t="s">
        <v>115</v>
      </c>
      <c r="H256" s="17" t="n">
        <v>-681.47</v>
      </c>
      <c r="I256" s="18"/>
    </row>
    <row r="257" customFormat="false" ht="15" hidden="false" customHeight="false" outlineLevel="0" collapsed="false">
      <c r="A257" s="19" t="s">
        <v>389</v>
      </c>
      <c r="B257" s="20" t="n">
        <v>45811</v>
      </c>
      <c r="C257" s="21" t="s">
        <v>379</v>
      </c>
      <c r="D257" s="21" t="n">
        <v>2025</v>
      </c>
      <c r="E257" s="16" t="s">
        <v>41</v>
      </c>
      <c r="F257" s="19" t="s">
        <v>53</v>
      </c>
      <c r="G257" s="19" t="s">
        <v>390</v>
      </c>
      <c r="H257" s="25" t="n">
        <v>-151.43</v>
      </c>
      <c r="I257" s="24"/>
    </row>
    <row r="258" customFormat="false" ht="15" hidden="false" customHeight="false" outlineLevel="0" collapsed="false">
      <c r="A258" s="13" t="s">
        <v>391</v>
      </c>
      <c r="B258" s="14" t="n">
        <v>45813</v>
      </c>
      <c r="C258" s="15" t="s">
        <v>379</v>
      </c>
      <c r="D258" s="15" t="n">
        <v>2025</v>
      </c>
      <c r="E258" s="16" t="s">
        <v>41</v>
      </c>
      <c r="F258" s="13" t="s">
        <v>58</v>
      </c>
      <c r="G258" s="13" t="s">
        <v>392</v>
      </c>
      <c r="H258" s="17" t="n">
        <v>-2185.95</v>
      </c>
      <c r="I258" s="18"/>
    </row>
    <row r="259" customFormat="false" ht="15" hidden="false" customHeight="false" outlineLevel="0" collapsed="false">
      <c r="A259" s="19" t="s">
        <v>393</v>
      </c>
      <c r="B259" s="20" t="n">
        <v>45814</v>
      </c>
      <c r="C259" s="21" t="s">
        <v>379</v>
      </c>
      <c r="D259" s="21" t="n">
        <v>2025</v>
      </c>
      <c r="E259" s="22" t="s">
        <v>45</v>
      </c>
      <c r="F259" s="19" t="s">
        <v>46</v>
      </c>
      <c r="G259" s="19" t="s">
        <v>104</v>
      </c>
      <c r="H259" s="23" t="n">
        <v>3375.96</v>
      </c>
      <c r="I259" s="24"/>
    </row>
    <row r="260" customFormat="false" ht="15" hidden="false" customHeight="false" outlineLevel="0" collapsed="false">
      <c r="A260" s="13" t="s">
        <v>394</v>
      </c>
      <c r="B260" s="14" t="n">
        <v>45814</v>
      </c>
      <c r="C260" s="15" t="s">
        <v>379</v>
      </c>
      <c r="D260" s="15" t="n">
        <v>2025</v>
      </c>
      <c r="E260" s="16" t="s">
        <v>41</v>
      </c>
      <c r="F260" s="13" t="s">
        <v>49</v>
      </c>
      <c r="G260" s="13" t="s">
        <v>50</v>
      </c>
      <c r="H260" s="17" t="n">
        <v>-3403.88</v>
      </c>
      <c r="I260" s="18"/>
    </row>
    <row r="261" customFormat="false" ht="15" hidden="false" customHeight="false" outlineLevel="0" collapsed="false">
      <c r="A261" s="19" t="s">
        <v>395</v>
      </c>
      <c r="B261" s="20" t="n">
        <v>45814</v>
      </c>
      <c r="C261" s="21" t="s">
        <v>379</v>
      </c>
      <c r="D261" s="21" t="n">
        <v>2025</v>
      </c>
      <c r="E261" s="16" t="s">
        <v>41</v>
      </c>
      <c r="F261" s="19" t="s">
        <v>67</v>
      </c>
      <c r="G261" s="19" t="s">
        <v>132</v>
      </c>
      <c r="H261" s="25" t="n">
        <v>-42.46</v>
      </c>
      <c r="I261" s="24"/>
    </row>
    <row r="262" customFormat="false" ht="15" hidden="false" customHeight="false" outlineLevel="0" collapsed="false">
      <c r="A262" s="13" t="s">
        <v>396</v>
      </c>
      <c r="B262" s="14" t="n">
        <v>45814</v>
      </c>
      <c r="C262" s="15" t="s">
        <v>379</v>
      </c>
      <c r="D262" s="15" t="n">
        <v>2025</v>
      </c>
      <c r="E262" s="16" t="s">
        <v>41</v>
      </c>
      <c r="F262" s="13" t="s">
        <v>92</v>
      </c>
      <c r="G262" s="13" t="s">
        <v>136</v>
      </c>
      <c r="H262" s="17" t="n">
        <v>-53.97</v>
      </c>
      <c r="I262" s="18"/>
    </row>
    <row r="263" customFormat="false" ht="15" hidden="false" customHeight="false" outlineLevel="0" collapsed="false">
      <c r="A263" s="19" t="s">
        <v>397</v>
      </c>
      <c r="B263" s="20" t="n">
        <v>45815</v>
      </c>
      <c r="C263" s="21" t="s">
        <v>379</v>
      </c>
      <c r="D263" s="21" t="n">
        <v>2025</v>
      </c>
      <c r="E263" s="22" t="s">
        <v>45</v>
      </c>
      <c r="F263" s="19" t="s">
        <v>46</v>
      </c>
      <c r="G263" s="19" t="s">
        <v>70</v>
      </c>
      <c r="H263" s="23" t="n">
        <v>2410.67</v>
      </c>
      <c r="I263" s="24"/>
    </row>
    <row r="264" customFormat="false" ht="15" hidden="false" customHeight="false" outlineLevel="0" collapsed="false">
      <c r="A264" s="13" t="s">
        <v>398</v>
      </c>
      <c r="B264" s="14" t="n">
        <v>45815</v>
      </c>
      <c r="C264" s="15" t="s">
        <v>379</v>
      </c>
      <c r="D264" s="15" t="n">
        <v>2025</v>
      </c>
      <c r="E264" s="16" t="s">
        <v>41</v>
      </c>
      <c r="F264" s="13" t="s">
        <v>49</v>
      </c>
      <c r="G264" s="13" t="s">
        <v>328</v>
      </c>
      <c r="H264" s="17" t="n">
        <v>-8695.56</v>
      </c>
      <c r="I264" s="18"/>
    </row>
    <row r="265" customFormat="false" ht="15" hidden="false" customHeight="false" outlineLevel="0" collapsed="false">
      <c r="A265" s="19" t="s">
        <v>399</v>
      </c>
      <c r="B265" s="20" t="n">
        <v>45815</v>
      </c>
      <c r="C265" s="21" t="s">
        <v>379</v>
      </c>
      <c r="D265" s="21" t="n">
        <v>2025</v>
      </c>
      <c r="E265" s="16" t="s">
        <v>41</v>
      </c>
      <c r="F265" s="19" t="s">
        <v>67</v>
      </c>
      <c r="G265" s="19" t="s">
        <v>68</v>
      </c>
      <c r="H265" s="25" t="n">
        <v>-64.94</v>
      </c>
      <c r="I265" s="24"/>
    </row>
    <row r="266" customFormat="false" ht="15" hidden="false" customHeight="false" outlineLevel="0" collapsed="false">
      <c r="A266" s="13" t="s">
        <v>400</v>
      </c>
      <c r="B266" s="14" t="n">
        <v>45815</v>
      </c>
      <c r="C266" s="15" t="s">
        <v>379</v>
      </c>
      <c r="D266" s="15" t="n">
        <v>2025</v>
      </c>
      <c r="E266" s="16" t="s">
        <v>41</v>
      </c>
      <c r="F266" s="13" t="s">
        <v>67</v>
      </c>
      <c r="G266" s="13" t="s">
        <v>122</v>
      </c>
      <c r="H266" s="17" t="n">
        <v>-201.02</v>
      </c>
      <c r="I266" s="18"/>
    </row>
    <row r="267" customFormat="false" ht="15" hidden="false" customHeight="false" outlineLevel="0" collapsed="false">
      <c r="A267" s="19" t="s">
        <v>401</v>
      </c>
      <c r="B267" s="20" t="n">
        <v>45816</v>
      </c>
      <c r="C267" s="21" t="s">
        <v>379</v>
      </c>
      <c r="D267" s="21" t="n">
        <v>2025</v>
      </c>
      <c r="E267" s="16" t="s">
        <v>41</v>
      </c>
      <c r="F267" s="19" t="s">
        <v>83</v>
      </c>
      <c r="G267" s="19" t="s">
        <v>126</v>
      </c>
      <c r="H267" s="25" t="n">
        <v>-176.03</v>
      </c>
      <c r="I267" s="24"/>
    </row>
    <row r="268" customFormat="false" ht="15" hidden="false" customHeight="false" outlineLevel="0" collapsed="false">
      <c r="A268" s="13" t="s">
        <v>402</v>
      </c>
      <c r="B268" s="14" t="n">
        <v>45817</v>
      </c>
      <c r="C268" s="15" t="s">
        <v>379</v>
      </c>
      <c r="D268" s="15" t="n">
        <v>2025</v>
      </c>
      <c r="E268" s="22" t="s">
        <v>45</v>
      </c>
      <c r="F268" s="13" t="s">
        <v>46</v>
      </c>
      <c r="G268" s="13" t="s">
        <v>56</v>
      </c>
      <c r="H268" s="26" t="n">
        <v>2590.27</v>
      </c>
      <c r="I268" s="18"/>
    </row>
    <row r="269" customFormat="false" ht="15" hidden="false" customHeight="false" outlineLevel="0" collapsed="false">
      <c r="A269" s="19" t="s">
        <v>403</v>
      </c>
      <c r="B269" s="20" t="n">
        <v>45817</v>
      </c>
      <c r="C269" s="21" t="s">
        <v>379</v>
      </c>
      <c r="D269" s="21" t="n">
        <v>2025</v>
      </c>
      <c r="E269" s="16" t="s">
        <v>41</v>
      </c>
      <c r="F269" s="19" t="s">
        <v>107</v>
      </c>
      <c r="G269" s="19" t="s">
        <v>108</v>
      </c>
      <c r="H269" s="25" t="n">
        <v>-86.92</v>
      </c>
      <c r="I269" s="24"/>
    </row>
    <row r="270" customFormat="false" ht="15" hidden="false" customHeight="false" outlineLevel="0" collapsed="false">
      <c r="A270" s="13" t="s">
        <v>404</v>
      </c>
      <c r="B270" s="14" t="n">
        <v>45818</v>
      </c>
      <c r="C270" s="15" t="s">
        <v>379</v>
      </c>
      <c r="D270" s="15" t="n">
        <v>2025</v>
      </c>
      <c r="E270" s="16" t="s">
        <v>41</v>
      </c>
      <c r="F270" s="13" t="s">
        <v>92</v>
      </c>
      <c r="G270" s="13" t="s">
        <v>93</v>
      </c>
      <c r="H270" s="17" t="n">
        <v>-114.44</v>
      </c>
      <c r="I270" s="18"/>
    </row>
    <row r="271" customFormat="false" ht="15" hidden="false" customHeight="false" outlineLevel="0" collapsed="false">
      <c r="A271" s="19" t="s">
        <v>405</v>
      </c>
      <c r="B271" s="20" t="n">
        <v>45819</v>
      </c>
      <c r="C271" s="21" t="s">
        <v>379</v>
      </c>
      <c r="D271" s="21" t="n">
        <v>2025</v>
      </c>
      <c r="E271" s="16" t="s">
        <v>41</v>
      </c>
      <c r="F271" s="19" t="s">
        <v>49</v>
      </c>
      <c r="G271" s="19" t="s">
        <v>139</v>
      </c>
      <c r="H271" s="25" t="n">
        <v>-3153.12</v>
      </c>
      <c r="I271" s="24"/>
    </row>
    <row r="272" customFormat="false" ht="15" hidden="false" customHeight="false" outlineLevel="0" collapsed="false">
      <c r="A272" s="13" t="s">
        <v>406</v>
      </c>
      <c r="B272" s="14" t="n">
        <v>45820</v>
      </c>
      <c r="C272" s="15" t="s">
        <v>379</v>
      </c>
      <c r="D272" s="15" t="n">
        <v>2025</v>
      </c>
      <c r="E272" s="22" t="s">
        <v>45</v>
      </c>
      <c r="F272" s="13" t="s">
        <v>46</v>
      </c>
      <c r="G272" s="13" t="s">
        <v>81</v>
      </c>
      <c r="H272" s="26" t="n">
        <v>233</v>
      </c>
      <c r="I272" s="18"/>
    </row>
    <row r="273" customFormat="false" ht="15" hidden="false" customHeight="false" outlineLevel="0" collapsed="false">
      <c r="A273" s="19" t="s">
        <v>407</v>
      </c>
      <c r="B273" s="20" t="n">
        <v>45820</v>
      </c>
      <c r="C273" s="21" t="s">
        <v>379</v>
      </c>
      <c r="D273" s="21" t="n">
        <v>2025</v>
      </c>
      <c r="E273" s="16" t="s">
        <v>41</v>
      </c>
      <c r="F273" s="19" t="s">
        <v>74</v>
      </c>
      <c r="G273" s="19" t="s">
        <v>90</v>
      </c>
      <c r="H273" s="25" t="n">
        <v>-114.11</v>
      </c>
      <c r="I273" s="24"/>
    </row>
    <row r="274" customFormat="false" ht="15" hidden="false" customHeight="false" outlineLevel="0" collapsed="false">
      <c r="A274" s="13" t="s">
        <v>408</v>
      </c>
      <c r="B274" s="14" t="n">
        <v>45820</v>
      </c>
      <c r="C274" s="15" t="s">
        <v>379</v>
      </c>
      <c r="D274" s="15" t="n">
        <v>2025</v>
      </c>
      <c r="E274" s="16" t="s">
        <v>41</v>
      </c>
      <c r="F274" s="13" t="s">
        <v>92</v>
      </c>
      <c r="G274" s="13" t="s">
        <v>134</v>
      </c>
      <c r="H274" s="17" t="n">
        <v>-59.3</v>
      </c>
      <c r="I274" s="18"/>
    </row>
    <row r="275" customFormat="false" ht="15" hidden="false" customHeight="false" outlineLevel="0" collapsed="false">
      <c r="A275" s="19" t="s">
        <v>409</v>
      </c>
      <c r="B275" s="20" t="n">
        <v>45821</v>
      </c>
      <c r="C275" s="21" t="s">
        <v>379</v>
      </c>
      <c r="D275" s="21" t="n">
        <v>2025</v>
      </c>
      <c r="E275" s="22" t="s">
        <v>45</v>
      </c>
      <c r="F275" s="19" t="s">
        <v>46</v>
      </c>
      <c r="G275" s="19" t="s">
        <v>77</v>
      </c>
      <c r="H275" s="23" t="n">
        <v>1876.11</v>
      </c>
      <c r="I275" s="24"/>
    </row>
    <row r="276" customFormat="false" ht="15" hidden="false" customHeight="false" outlineLevel="0" collapsed="false">
      <c r="A276" s="13" t="s">
        <v>410</v>
      </c>
      <c r="B276" s="14" t="n">
        <v>45822</v>
      </c>
      <c r="C276" s="15" t="s">
        <v>379</v>
      </c>
      <c r="D276" s="15" t="n">
        <v>2025</v>
      </c>
      <c r="E276" s="22" t="s">
        <v>45</v>
      </c>
      <c r="F276" s="13" t="s">
        <v>46</v>
      </c>
      <c r="G276" s="13" t="s">
        <v>56</v>
      </c>
      <c r="H276" s="26" t="n">
        <v>395.06</v>
      </c>
      <c r="I276" s="18"/>
    </row>
    <row r="277" customFormat="false" ht="15" hidden="false" customHeight="false" outlineLevel="0" collapsed="false">
      <c r="A277" s="19" t="s">
        <v>411</v>
      </c>
      <c r="B277" s="20" t="n">
        <v>45822</v>
      </c>
      <c r="C277" s="21" t="s">
        <v>379</v>
      </c>
      <c r="D277" s="21" t="n">
        <v>2025</v>
      </c>
      <c r="E277" s="22" t="s">
        <v>45</v>
      </c>
      <c r="F277" s="19" t="s">
        <v>46</v>
      </c>
      <c r="G277" s="19" t="s">
        <v>81</v>
      </c>
      <c r="H277" s="23" t="n">
        <v>204.73</v>
      </c>
      <c r="I277" s="24"/>
    </row>
    <row r="278" customFormat="false" ht="15" hidden="false" customHeight="false" outlineLevel="0" collapsed="false">
      <c r="A278" s="13" t="s">
        <v>412</v>
      </c>
      <c r="B278" s="14" t="n">
        <v>45822</v>
      </c>
      <c r="C278" s="15" t="s">
        <v>379</v>
      </c>
      <c r="D278" s="15" t="n">
        <v>2025</v>
      </c>
      <c r="E278" s="22" t="s">
        <v>45</v>
      </c>
      <c r="F278" s="13" t="s">
        <v>46</v>
      </c>
      <c r="G278" s="13" t="s">
        <v>231</v>
      </c>
      <c r="H278" s="26" t="n">
        <v>371.74</v>
      </c>
      <c r="I278" s="18"/>
    </row>
    <row r="279" customFormat="false" ht="15" hidden="false" customHeight="false" outlineLevel="0" collapsed="false">
      <c r="A279" s="19" t="s">
        <v>413</v>
      </c>
      <c r="B279" s="20" t="n">
        <v>45822</v>
      </c>
      <c r="C279" s="21" t="s">
        <v>379</v>
      </c>
      <c r="D279" s="21" t="n">
        <v>2025</v>
      </c>
      <c r="E279" s="16" t="s">
        <v>41</v>
      </c>
      <c r="F279" s="19" t="s">
        <v>83</v>
      </c>
      <c r="G279" s="19" t="s">
        <v>84</v>
      </c>
      <c r="H279" s="25" t="n">
        <v>-440.1</v>
      </c>
      <c r="I279" s="24"/>
    </row>
    <row r="280" customFormat="false" ht="15" hidden="false" customHeight="false" outlineLevel="0" collapsed="false">
      <c r="A280" s="13" t="s">
        <v>414</v>
      </c>
      <c r="B280" s="14" t="n">
        <v>45823</v>
      </c>
      <c r="C280" s="15" t="s">
        <v>379</v>
      </c>
      <c r="D280" s="15" t="n">
        <v>2025</v>
      </c>
      <c r="E280" s="22" t="s">
        <v>45</v>
      </c>
      <c r="F280" s="13" t="s">
        <v>46</v>
      </c>
      <c r="G280" s="13" t="s">
        <v>72</v>
      </c>
      <c r="H280" s="26" t="n">
        <v>128.05</v>
      </c>
      <c r="I280" s="18"/>
    </row>
    <row r="281" customFormat="false" ht="15" hidden="false" customHeight="false" outlineLevel="0" collapsed="false">
      <c r="A281" s="19" t="s">
        <v>415</v>
      </c>
      <c r="B281" s="20" t="n">
        <v>45823</v>
      </c>
      <c r="C281" s="21" t="s">
        <v>379</v>
      </c>
      <c r="D281" s="21" t="n">
        <v>2025</v>
      </c>
      <c r="E281" s="16" t="s">
        <v>41</v>
      </c>
      <c r="F281" s="19" t="s">
        <v>87</v>
      </c>
      <c r="G281" s="19" t="s">
        <v>88</v>
      </c>
      <c r="H281" s="25" t="n">
        <v>-227.26</v>
      </c>
      <c r="I281" s="24"/>
    </row>
    <row r="282" customFormat="false" ht="15" hidden="false" customHeight="false" outlineLevel="0" collapsed="false">
      <c r="A282" s="13" t="s">
        <v>416</v>
      </c>
      <c r="B282" s="14" t="n">
        <v>45823</v>
      </c>
      <c r="C282" s="15" t="s">
        <v>379</v>
      </c>
      <c r="D282" s="15" t="n">
        <v>2025</v>
      </c>
      <c r="E282" s="16" t="s">
        <v>41</v>
      </c>
      <c r="F282" s="13" t="s">
        <v>107</v>
      </c>
      <c r="G282" s="13" t="s">
        <v>120</v>
      </c>
      <c r="H282" s="17" t="n">
        <v>-38.14</v>
      </c>
      <c r="I282" s="18"/>
    </row>
    <row r="283" customFormat="false" ht="15" hidden="false" customHeight="false" outlineLevel="0" collapsed="false">
      <c r="A283" s="19" t="s">
        <v>417</v>
      </c>
      <c r="B283" s="20" t="n">
        <v>45824</v>
      </c>
      <c r="C283" s="21" t="s">
        <v>379</v>
      </c>
      <c r="D283" s="21" t="n">
        <v>2025</v>
      </c>
      <c r="E283" s="16" t="s">
        <v>41</v>
      </c>
      <c r="F283" s="19" t="s">
        <v>49</v>
      </c>
      <c r="G283" s="19" t="s">
        <v>299</v>
      </c>
      <c r="H283" s="25" t="n">
        <v>-2557.81</v>
      </c>
      <c r="I283" s="24"/>
    </row>
    <row r="284" customFormat="false" ht="15" hidden="false" customHeight="false" outlineLevel="0" collapsed="false">
      <c r="A284" s="13" t="s">
        <v>418</v>
      </c>
      <c r="B284" s="14" t="n">
        <v>45824</v>
      </c>
      <c r="C284" s="15" t="s">
        <v>379</v>
      </c>
      <c r="D284" s="15" t="n">
        <v>2025</v>
      </c>
      <c r="E284" s="16" t="s">
        <v>41</v>
      </c>
      <c r="F284" s="13" t="s">
        <v>74</v>
      </c>
      <c r="G284" s="13" t="s">
        <v>75</v>
      </c>
      <c r="H284" s="17" t="n">
        <v>-268.01</v>
      </c>
      <c r="I284" s="18"/>
    </row>
    <row r="285" customFormat="false" ht="15" hidden="false" customHeight="false" outlineLevel="0" collapsed="false">
      <c r="A285" s="19" t="s">
        <v>419</v>
      </c>
      <c r="B285" s="20" t="n">
        <v>45826</v>
      </c>
      <c r="C285" s="21" t="s">
        <v>379</v>
      </c>
      <c r="D285" s="21" t="n">
        <v>2025</v>
      </c>
      <c r="E285" s="22" t="s">
        <v>45</v>
      </c>
      <c r="F285" s="19" t="s">
        <v>46</v>
      </c>
      <c r="G285" s="19" t="s">
        <v>81</v>
      </c>
      <c r="H285" s="23" t="n">
        <v>226.1</v>
      </c>
      <c r="I285" s="24"/>
    </row>
    <row r="286" customFormat="false" ht="15" hidden="false" customHeight="false" outlineLevel="0" collapsed="false">
      <c r="A286" s="13" t="s">
        <v>420</v>
      </c>
      <c r="B286" s="14" t="n">
        <v>45827</v>
      </c>
      <c r="C286" s="15" t="s">
        <v>379</v>
      </c>
      <c r="D286" s="15" t="n">
        <v>2025</v>
      </c>
      <c r="E286" s="22" t="s">
        <v>45</v>
      </c>
      <c r="F286" s="13" t="s">
        <v>46</v>
      </c>
      <c r="G286" s="13" t="s">
        <v>47</v>
      </c>
      <c r="H286" s="26" t="n">
        <v>850.48</v>
      </c>
      <c r="I286" s="18"/>
    </row>
    <row r="287" customFormat="false" ht="15" hidden="false" customHeight="false" outlineLevel="0" collapsed="false">
      <c r="A287" s="19" t="s">
        <v>421</v>
      </c>
      <c r="B287" s="20" t="n">
        <v>45827</v>
      </c>
      <c r="C287" s="21" t="s">
        <v>379</v>
      </c>
      <c r="D287" s="21" t="n">
        <v>2025</v>
      </c>
      <c r="E287" s="16" t="s">
        <v>41</v>
      </c>
      <c r="F287" s="19" t="s">
        <v>74</v>
      </c>
      <c r="G287" s="19" t="s">
        <v>101</v>
      </c>
      <c r="H287" s="25" t="n">
        <v>-74.61</v>
      </c>
      <c r="I287" s="24"/>
    </row>
    <row r="288" customFormat="false" ht="15" hidden="false" customHeight="false" outlineLevel="0" collapsed="false">
      <c r="A288" s="13" t="s">
        <v>422</v>
      </c>
      <c r="B288" s="14" t="n">
        <v>45828</v>
      </c>
      <c r="C288" s="15" t="s">
        <v>379</v>
      </c>
      <c r="D288" s="15" t="n">
        <v>2025</v>
      </c>
      <c r="E288" s="22" t="s">
        <v>45</v>
      </c>
      <c r="F288" s="13" t="s">
        <v>46</v>
      </c>
      <c r="G288" s="13" t="s">
        <v>70</v>
      </c>
      <c r="H288" s="26" t="n">
        <v>932.05</v>
      </c>
      <c r="I288" s="18"/>
    </row>
    <row r="289" customFormat="false" ht="15" hidden="false" customHeight="false" outlineLevel="0" collapsed="false">
      <c r="A289" s="19" t="s">
        <v>423</v>
      </c>
      <c r="B289" s="20" t="n">
        <v>45828</v>
      </c>
      <c r="C289" s="21" t="s">
        <v>379</v>
      </c>
      <c r="D289" s="21" t="n">
        <v>2025</v>
      </c>
      <c r="E289" s="22" t="s">
        <v>45</v>
      </c>
      <c r="F289" s="19" t="s">
        <v>46</v>
      </c>
      <c r="G289" s="19" t="s">
        <v>70</v>
      </c>
      <c r="H289" s="23" t="n">
        <v>1201.02</v>
      </c>
      <c r="I289" s="24"/>
    </row>
    <row r="290" customFormat="false" ht="15" hidden="false" customHeight="false" outlineLevel="0" collapsed="false">
      <c r="A290" s="13" t="s">
        <v>424</v>
      </c>
      <c r="B290" s="14" t="n">
        <v>45829</v>
      </c>
      <c r="C290" s="15" t="s">
        <v>379</v>
      </c>
      <c r="D290" s="15" t="n">
        <v>2025</v>
      </c>
      <c r="E290" s="22" t="s">
        <v>45</v>
      </c>
      <c r="F290" s="13" t="s">
        <v>46</v>
      </c>
      <c r="G290" s="13" t="s">
        <v>56</v>
      </c>
      <c r="H290" s="26" t="n">
        <v>230.57</v>
      </c>
      <c r="I290" s="18"/>
    </row>
    <row r="291" customFormat="false" ht="15" hidden="false" customHeight="false" outlineLevel="0" collapsed="false">
      <c r="A291" s="19" t="s">
        <v>425</v>
      </c>
      <c r="B291" s="20" t="n">
        <v>45829</v>
      </c>
      <c r="C291" s="21" t="s">
        <v>379</v>
      </c>
      <c r="D291" s="21" t="n">
        <v>2025</v>
      </c>
      <c r="E291" s="22" t="s">
        <v>45</v>
      </c>
      <c r="F291" s="19" t="s">
        <v>46</v>
      </c>
      <c r="G291" s="19" t="s">
        <v>104</v>
      </c>
      <c r="H291" s="23" t="n">
        <v>296.33</v>
      </c>
      <c r="I291" s="24"/>
    </row>
    <row r="292" customFormat="false" ht="15" hidden="false" customHeight="false" outlineLevel="0" collapsed="false">
      <c r="A292" s="13" t="s">
        <v>426</v>
      </c>
      <c r="B292" s="14" t="n">
        <v>45831</v>
      </c>
      <c r="C292" s="15" t="s">
        <v>379</v>
      </c>
      <c r="D292" s="15" t="n">
        <v>2025</v>
      </c>
      <c r="E292" s="16" t="s">
        <v>41</v>
      </c>
      <c r="F292" s="13" t="s">
        <v>107</v>
      </c>
      <c r="G292" s="13" t="s">
        <v>141</v>
      </c>
      <c r="H292" s="17" t="n">
        <v>-29.49</v>
      </c>
      <c r="I292" s="18"/>
    </row>
    <row r="293" customFormat="false" ht="15" hidden="false" customHeight="false" outlineLevel="0" collapsed="false">
      <c r="A293" s="19" t="s">
        <v>427</v>
      </c>
      <c r="B293" s="20" t="n">
        <v>45832</v>
      </c>
      <c r="C293" s="21" t="s">
        <v>379</v>
      </c>
      <c r="D293" s="21" t="n">
        <v>2025</v>
      </c>
      <c r="E293" s="16" t="s">
        <v>41</v>
      </c>
      <c r="F293" s="19" t="s">
        <v>83</v>
      </c>
      <c r="G293" s="19" t="s">
        <v>96</v>
      </c>
      <c r="H293" s="25" t="n">
        <v>-170.39</v>
      </c>
      <c r="I293" s="24"/>
    </row>
    <row r="294" customFormat="false" ht="15" hidden="false" customHeight="false" outlineLevel="0" collapsed="false">
      <c r="A294" s="13" t="s">
        <v>428</v>
      </c>
      <c r="B294" s="14" t="n">
        <v>45833</v>
      </c>
      <c r="C294" s="15" t="s">
        <v>379</v>
      </c>
      <c r="D294" s="15" t="n">
        <v>2025</v>
      </c>
      <c r="E294" s="22" t="s">
        <v>45</v>
      </c>
      <c r="F294" s="13" t="s">
        <v>46</v>
      </c>
      <c r="G294" s="13" t="s">
        <v>104</v>
      </c>
      <c r="H294" s="26" t="n">
        <v>330.05</v>
      </c>
      <c r="I294" s="18"/>
    </row>
    <row r="295" customFormat="false" ht="15" hidden="false" customHeight="false" outlineLevel="0" collapsed="false">
      <c r="A295" s="19" t="s">
        <v>429</v>
      </c>
      <c r="B295" s="20" t="n">
        <v>45834</v>
      </c>
      <c r="C295" s="21" t="s">
        <v>379</v>
      </c>
      <c r="D295" s="21" t="n">
        <v>2025</v>
      </c>
      <c r="E295" s="16" t="s">
        <v>41</v>
      </c>
      <c r="F295" s="19" t="s">
        <v>87</v>
      </c>
      <c r="G295" s="19" t="s">
        <v>130</v>
      </c>
      <c r="H295" s="25" t="n">
        <v>-168.7</v>
      </c>
      <c r="I295" s="24"/>
    </row>
    <row r="296" customFormat="false" ht="15" hidden="false" customHeight="false" outlineLevel="0" collapsed="false">
      <c r="A296" s="13" t="s">
        <v>430</v>
      </c>
      <c r="B296" s="14" t="n">
        <v>45835</v>
      </c>
      <c r="C296" s="15" t="s">
        <v>379</v>
      </c>
      <c r="D296" s="15" t="n">
        <v>2025</v>
      </c>
      <c r="E296" s="22" t="s">
        <v>45</v>
      </c>
      <c r="F296" s="13" t="s">
        <v>46</v>
      </c>
      <c r="G296" s="13" t="s">
        <v>72</v>
      </c>
      <c r="H296" s="26" t="n">
        <v>1162.1</v>
      </c>
      <c r="I296" s="18"/>
    </row>
    <row r="297" customFormat="false" ht="15" hidden="false" customHeight="false" outlineLevel="0" collapsed="false">
      <c r="A297" s="19" t="s">
        <v>431</v>
      </c>
      <c r="B297" s="20" t="n">
        <v>45835</v>
      </c>
      <c r="C297" s="21" t="s">
        <v>379</v>
      </c>
      <c r="D297" s="21" t="n">
        <v>2025</v>
      </c>
      <c r="E297" s="22" t="s">
        <v>45</v>
      </c>
      <c r="F297" s="19" t="s">
        <v>46</v>
      </c>
      <c r="G297" s="19" t="s">
        <v>98</v>
      </c>
      <c r="H297" s="23" t="n">
        <v>188.17</v>
      </c>
      <c r="I297" s="24"/>
    </row>
    <row r="298" customFormat="false" ht="15" hidden="false" customHeight="false" outlineLevel="0" collapsed="false">
      <c r="A298" s="13" t="s">
        <v>432</v>
      </c>
      <c r="B298" s="14" t="n">
        <v>45836</v>
      </c>
      <c r="C298" s="15" t="s">
        <v>379</v>
      </c>
      <c r="D298" s="15" t="n">
        <v>2025</v>
      </c>
      <c r="E298" s="22" t="s">
        <v>45</v>
      </c>
      <c r="F298" s="13" t="s">
        <v>46</v>
      </c>
      <c r="G298" s="13" t="s">
        <v>72</v>
      </c>
      <c r="H298" s="26" t="n">
        <v>178.02</v>
      </c>
      <c r="I298" s="18"/>
    </row>
    <row r="299" customFormat="false" ht="15" hidden="false" customHeight="false" outlineLevel="0" collapsed="false">
      <c r="A299" s="19" t="s">
        <v>433</v>
      </c>
      <c r="B299" s="20" t="n">
        <v>45839</v>
      </c>
      <c r="C299" s="21" t="s">
        <v>434</v>
      </c>
      <c r="D299" s="21" t="n">
        <v>2025</v>
      </c>
      <c r="E299" s="22" t="s">
        <v>45</v>
      </c>
      <c r="F299" s="19" t="s">
        <v>46</v>
      </c>
      <c r="G299" s="19" t="s">
        <v>98</v>
      </c>
      <c r="H299" s="23" t="n">
        <v>521.52</v>
      </c>
      <c r="I299" s="24"/>
    </row>
    <row r="300" customFormat="false" ht="15" hidden="false" customHeight="false" outlineLevel="0" collapsed="false">
      <c r="A300" s="13" t="s">
        <v>435</v>
      </c>
      <c r="B300" s="14" t="n">
        <v>45839</v>
      </c>
      <c r="C300" s="15" t="s">
        <v>434</v>
      </c>
      <c r="D300" s="15" t="n">
        <v>2025</v>
      </c>
      <c r="E300" s="16" t="s">
        <v>41</v>
      </c>
      <c r="F300" s="13" t="s">
        <v>58</v>
      </c>
      <c r="G300" s="13" t="s">
        <v>436</v>
      </c>
      <c r="H300" s="17" t="n">
        <v>-2162.61</v>
      </c>
      <c r="I300" s="18"/>
    </row>
    <row r="301" customFormat="false" ht="15" hidden="false" customHeight="false" outlineLevel="0" collapsed="false">
      <c r="A301" s="19" t="s">
        <v>437</v>
      </c>
      <c r="B301" s="20" t="n">
        <v>45839</v>
      </c>
      <c r="C301" s="21" t="s">
        <v>434</v>
      </c>
      <c r="D301" s="21" t="n">
        <v>2025</v>
      </c>
      <c r="E301" s="16" t="s">
        <v>41</v>
      </c>
      <c r="F301" s="19" t="s">
        <v>67</v>
      </c>
      <c r="G301" s="19" t="s">
        <v>122</v>
      </c>
      <c r="H301" s="25" t="n">
        <v>-84.03</v>
      </c>
      <c r="I301" s="24"/>
    </row>
    <row r="302" customFormat="false" ht="15" hidden="false" customHeight="false" outlineLevel="0" collapsed="false">
      <c r="A302" s="13" t="s">
        <v>438</v>
      </c>
      <c r="B302" s="14" t="n">
        <v>45840</v>
      </c>
      <c r="C302" s="15" t="s">
        <v>434</v>
      </c>
      <c r="D302" s="15" t="n">
        <v>2025</v>
      </c>
      <c r="E302" s="22" t="s">
        <v>45</v>
      </c>
      <c r="F302" s="13" t="s">
        <v>46</v>
      </c>
      <c r="G302" s="13" t="s">
        <v>79</v>
      </c>
      <c r="H302" s="26" t="n">
        <v>364.32</v>
      </c>
      <c r="I302" s="18"/>
    </row>
    <row r="303" customFormat="false" ht="15" hidden="false" customHeight="false" outlineLevel="0" collapsed="false">
      <c r="A303" s="19" t="s">
        <v>439</v>
      </c>
      <c r="B303" s="20" t="n">
        <v>45840</v>
      </c>
      <c r="C303" s="21" t="s">
        <v>434</v>
      </c>
      <c r="D303" s="21" t="n">
        <v>2025</v>
      </c>
      <c r="E303" s="22" t="s">
        <v>45</v>
      </c>
      <c r="F303" s="19" t="s">
        <v>46</v>
      </c>
      <c r="G303" s="19" t="s">
        <v>104</v>
      </c>
      <c r="H303" s="23" t="n">
        <v>1107.51</v>
      </c>
      <c r="I303" s="24"/>
    </row>
    <row r="304" customFormat="false" ht="15" hidden="false" customHeight="false" outlineLevel="0" collapsed="false">
      <c r="A304" s="13" t="s">
        <v>440</v>
      </c>
      <c r="B304" s="14" t="n">
        <v>45840</v>
      </c>
      <c r="C304" s="15" t="s">
        <v>434</v>
      </c>
      <c r="D304" s="15" t="n">
        <v>2025</v>
      </c>
      <c r="E304" s="22" t="s">
        <v>45</v>
      </c>
      <c r="F304" s="13" t="s">
        <v>46</v>
      </c>
      <c r="G304" s="13" t="s">
        <v>98</v>
      </c>
      <c r="H304" s="26" t="n">
        <v>249.95</v>
      </c>
      <c r="I304" s="18"/>
    </row>
    <row r="305" customFormat="false" ht="15" hidden="false" customHeight="false" outlineLevel="0" collapsed="false">
      <c r="A305" s="19" t="s">
        <v>441</v>
      </c>
      <c r="B305" s="20" t="n">
        <v>45840</v>
      </c>
      <c r="C305" s="21" t="s">
        <v>434</v>
      </c>
      <c r="D305" s="21" t="n">
        <v>2025</v>
      </c>
      <c r="E305" s="16" t="s">
        <v>41</v>
      </c>
      <c r="F305" s="19" t="s">
        <v>74</v>
      </c>
      <c r="G305" s="19" t="s">
        <v>75</v>
      </c>
      <c r="H305" s="25" t="n">
        <v>-68.52</v>
      </c>
      <c r="I305" s="24"/>
    </row>
    <row r="306" customFormat="false" ht="15" hidden="false" customHeight="false" outlineLevel="0" collapsed="false">
      <c r="A306" s="13" t="s">
        <v>442</v>
      </c>
      <c r="B306" s="14" t="n">
        <v>45841</v>
      </c>
      <c r="C306" s="15" t="s">
        <v>434</v>
      </c>
      <c r="D306" s="15" t="n">
        <v>2025</v>
      </c>
      <c r="E306" s="22" t="s">
        <v>45</v>
      </c>
      <c r="F306" s="13" t="s">
        <v>46</v>
      </c>
      <c r="G306" s="13" t="s">
        <v>72</v>
      </c>
      <c r="H306" s="26" t="n">
        <v>1112.06</v>
      </c>
      <c r="I306" s="18"/>
    </row>
    <row r="307" customFormat="false" ht="15" hidden="false" customHeight="false" outlineLevel="0" collapsed="false">
      <c r="A307" s="19" t="s">
        <v>443</v>
      </c>
      <c r="B307" s="20" t="n">
        <v>45841</v>
      </c>
      <c r="C307" s="21" t="s">
        <v>434</v>
      </c>
      <c r="D307" s="21" t="n">
        <v>2025</v>
      </c>
      <c r="E307" s="16" t="s">
        <v>41</v>
      </c>
      <c r="F307" s="19" t="s">
        <v>49</v>
      </c>
      <c r="G307" s="19" t="s">
        <v>139</v>
      </c>
      <c r="H307" s="25" t="n">
        <v>-3295.06</v>
      </c>
      <c r="I307" s="24"/>
    </row>
    <row r="308" customFormat="false" ht="15" hidden="false" customHeight="false" outlineLevel="0" collapsed="false">
      <c r="A308" s="13" t="s">
        <v>444</v>
      </c>
      <c r="B308" s="14" t="n">
        <v>45841</v>
      </c>
      <c r="C308" s="15" t="s">
        <v>434</v>
      </c>
      <c r="D308" s="15" t="n">
        <v>2025</v>
      </c>
      <c r="E308" s="16" t="s">
        <v>41</v>
      </c>
      <c r="F308" s="13" t="s">
        <v>74</v>
      </c>
      <c r="G308" s="13" t="s">
        <v>90</v>
      </c>
      <c r="H308" s="17" t="n">
        <v>-74.88</v>
      </c>
      <c r="I308" s="18"/>
    </row>
    <row r="309" customFormat="false" ht="15" hidden="false" customHeight="false" outlineLevel="0" collapsed="false">
      <c r="A309" s="19" t="s">
        <v>445</v>
      </c>
      <c r="B309" s="20" t="n">
        <v>45841</v>
      </c>
      <c r="C309" s="21" t="s">
        <v>434</v>
      </c>
      <c r="D309" s="21" t="n">
        <v>2025</v>
      </c>
      <c r="E309" s="16" t="s">
        <v>41</v>
      </c>
      <c r="F309" s="19" t="s">
        <v>67</v>
      </c>
      <c r="G309" s="19" t="s">
        <v>226</v>
      </c>
      <c r="H309" s="25" t="n">
        <v>-199.28</v>
      </c>
      <c r="I309" s="24"/>
    </row>
    <row r="310" customFormat="false" ht="15" hidden="false" customHeight="false" outlineLevel="0" collapsed="false">
      <c r="A310" s="13" t="s">
        <v>446</v>
      </c>
      <c r="B310" s="14" t="n">
        <v>45842</v>
      </c>
      <c r="C310" s="15" t="s">
        <v>434</v>
      </c>
      <c r="D310" s="15" t="n">
        <v>2025</v>
      </c>
      <c r="E310" s="16" t="s">
        <v>41</v>
      </c>
      <c r="F310" s="13" t="s">
        <v>107</v>
      </c>
      <c r="G310" s="13" t="s">
        <v>120</v>
      </c>
      <c r="H310" s="17" t="n">
        <v>-40.25</v>
      </c>
      <c r="I310" s="18"/>
    </row>
    <row r="311" customFormat="false" ht="15" hidden="false" customHeight="false" outlineLevel="0" collapsed="false">
      <c r="A311" s="19" t="s">
        <v>447</v>
      </c>
      <c r="B311" s="20" t="n">
        <v>45842</v>
      </c>
      <c r="C311" s="21" t="s">
        <v>434</v>
      </c>
      <c r="D311" s="21" t="n">
        <v>2025</v>
      </c>
      <c r="E311" s="16" t="s">
        <v>41</v>
      </c>
      <c r="F311" s="19" t="s">
        <v>61</v>
      </c>
      <c r="G311" s="19" t="s">
        <v>448</v>
      </c>
      <c r="H311" s="25" t="n">
        <v>-80.6</v>
      </c>
      <c r="I311" s="24"/>
    </row>
    <row r="312" customFormat="false" ht="15" hidden="false" customHeight="false" outlineLevel="0" collapsed="false">
      <c r="A312" s="13" t="s">
        <v>449</v>
      </c>
      <c r="B312" s="14" t="n">
        <v>45843</v>
      </c>
      <c r="C312" s="15" t="s">
        <v>434</v>
      </c>
      <c r="D312" s="15" t="n">
        <v>2025</v>
      </c>
      <c r="E312" s="22" t="s">
        <v>45</v>
      </c>
      <c r="F312" s="13" t="s">
        <v>46</v>
      </c>
      <c r="G312" s="13" t="s">
        <v>104</v>
      </c>
      <c r="H312" s="26" t="n">
        <v>3499.37</v>
      </c>
      <c r="I312" s="18"/>
    </row>
    <row r="313" customFormat="false" ht="15" hidden="false" customHeight="false" outlineLevel="0" collapsed="false">
      <c r="A313" s="19" t="s">
        <v>450</v>
      </c>
      <c r="B313" s="20" t="n">
        <v>45843</v>
      </c>
      <c r="C313" s="21" t="s">
        <v>434</v>
      </c>
      <c r="D313" s="21" t="n">
        <v>2025</v>
      </c>
      <c r="E313" s="22" t="s">
        <v>45</v>
      </c>
      <c r="F313" s="19" t="s">
        <v>46</v>
      </c>
      <c r="G313" s="19" t="s">
        <v>81</v>
      </c>
      <c r="H313" s="23" t="n">
        <v>1222.74</v>
      </c>
      <c r="I313" s="24"/>
    </row>
    <row r="314" customFormat="false" ht="15" hidden="false" customHeight="false" outlineLevel="0" collapsed="false">
      <c r="A314" s="13" t="s">
        <v>451</v>
      </c>
      <c r="B314" s="14" t="n">
        <v>45843</v>
      </c>
      <c r="C314" s="15" t="s">
        <v>434</v>
      </c>
      <c r="D314" s="15" t="n">
        <v>2025</v>
      </c>
      <c r="E314" s="16" t="s">
        <v>41</v>
      </c>
      <c r="F314" s="13" t="s">
        <v>42</v>
      </c>
      <c r="G314" s="13" t="s">
        <v>452</v>
      </c>
      <c r="H314" s="17" t="n">
        <v>-1484.39</v>
      </c>
      <c r="I314" s="18"/>
    </row>
    <row r="315" customFormat="false" ht="15" hidden="false" customHeight="false" outlineLevel="0" collapsed="false">
      <c r="A315" s="19" t="s">
        <v>453</v>
      </c>
      <c r="B315" s="20" t="n">
        <v>45843</v>
      </c>
      <c r="C315" s="21" t="s">
        <v>434</v>
      </c>
      <c r="D315" s="21" t="n">
        <v>2025</v>
      </c>
      <c r="E315" s="16" t="s">
        <v>41</v>
      </c>
      <c r="F315" s="19" t="s">
        <v>74</v>
      </c>
      <c r="G315" s="19" t="s">
        <v>101</v>
      </c>
      <c r="H315" s="25" t="n">
        <v>-65.64</v>
      </c>
      <c r="I315" s="24"/>
    </row>
    <row r="316" customFormat="false" ht="15" hidden="false" customHeight="false" outlineLevel="0" collapsed="false">
      <c r="A316" s="13" t="s">
        <v>454</v>
      </c>
      <c r="B316" s="14" t="n">
        <v>45843</v>
      </c>
      <c r="C316" s="15" t="s">
        <v>434</v>
      </c>
      <c r="D316" s="15" t="n">
        <v>2025</v>
      </c>
      <c r="E316" s="16" t="s">
        <v>41</v>
      </c>
      <c r="F316" s="13" t="s">
        <v>64</v>
      </c>
      <c r="G316" s="13" t="s">
        <v>455</v>
      </c>
      <c r="H316" s="17" t="n">
        <v>-122.12</v>
      </c>
      <c r="I316" s="18"/>
    </row>
    <row r="317" customFormat="false" ht="15" hidden="false" customHeight="false" outlineLevel="0" collapsed="false">
      <c r="A317" s="19" t="s">
        <v>456</v>
      </c>
      <c r="B317" s="20" t="n">
        <v>45843</v>
      </c>
      <c r="C317" s="21" t="s">
        <v>434</v>
      </c>
      <c r="D317" s="21" t="n">
        <v>2025</v>
      </c>
      <c r="E317" s="16" t="s">
        <v>41</v>
      </c>
      <c r="F317" s="19" t="s">
        <v>53</v>
      </c>
      <c r="G317" s="19" t="s">
        <v>457</v>
      </c>
      <c r="H317" s="25" t="n">
        <v>-148.37</v>
      </c>
      <c r="I317" s="24"/>
    </row>
    <row r="318" customFormat="false" ht="15" hidden="false" customHeight="false" outlineLevel="0" collapsed="false">
      <c r="A318" s="13" t="s">
        <v>458</v>
      </c>
      <c r="B318" s="14" t="n">
        <v>45844</v>
      </c>
      <c r="C318" s="15" t="s">
        <v>434</v>
      </c>
      <c r="D318" s="15" t="n">
        <v>2025</v>
      </c>
      <c r="E318" s="16" t="s">
        <v>41</v>
      </c>
      <c r="F318" s="13" t="s">
        <v>49</v>
      </c>
      <c r="G318" s="13" t="s">
        <v>50</v>
      </c>
      <c r="H318" s="17" t="n">
        <v>-8012.32</v>
      </c>
      <c r="I318" s="18"/>
    </row>
    <row r="319" customFormat="false" ht="15" hidden="false" customHeight="false" outlineLevel="0" collapsed="false">
      <c r="A319" s="19" t="s">
        <v>459</v>
      </c>
      <c r="B319" s="20" t="n">
        <v>45844</v>
      </c>
      <c r="C319" s="21" t="s">
        <v>434</v>
      </c>
      <c r="D319" s="21" t="n">
        <v>2025</v>
      </c>
      <c r="E319" s="16" t="s">
        <v>41</v>
      </c>
      <c r="F319" s="19" t="s">
        <v>74</v>
      </c>
      <c r="G319" s="19" t="s">
        <v>201</v>
      </c>
      <c r="H319" s="25" t="n">
        <v>-264.03</v>
      </c>
      <c r="I319" s="24"/>
    </row>
    <row r="320" customFormat="false" ht="15" hidden="false" customHeight="false" outlineLevel="0" collapsed="false">
      <c r="A320" s="13" t="s">
        <v>460</v>
      </c>
      <c r="B320" s="14" t="n">
        <v>45845</v>
      </c>
      <c r="C320" s="15" t="s">
        <v>434</v>
      </c>
      <c r="D320" s="15" t="n">
        <v>2025</v>
      </c>
      <c r="E320" s="16" t="s">
        <v>41</v>
      </c>
      <c r="F320" s="13" t="s">
        <v>87</v>
      </c>
      <c r="G320" s="13" t="s">
        <v>115</v>
      </c>
      <c r="H320" s="17" t="n">
        <v>-698.7</v>
      </c>
      <c r="I320" s="18"/>
    </row>
    <row r="321" customFormat="false" ht="15" hidden="false" customHeight="false" outlineLevel="0" collapsed="false">
      <c r="A321" s="19" t="s">
        <v>461</v>
      </c>
      <c r="B321" s="20" t="n">
        <v>45847</v>
      </c>
      <c r="C321" s="21" t="s">
        <v>434</v>
      </c>
      <c r="D321" s="21" t="n">
        <v>2025</v>
      </c>
      <c r="E321" s="16" t="s">
        <v>41</v>
      </c>
      <c r="F321" s="19" t="s">
        <v>67</v>
      </c>
      <c r="G321" s="19" t="s">
        <v>68</v>
      </c>
      <c r="H321" s="25" t="n">
        <v>-68.29</v>
      </c>
      <c r="I321" s="24"/>
    </row>
    <row r="322" customFormat="false" ht="15" hidden="false" customHeight="false" outlineLevel="0" collapsed="false">
      <c r="A322" s="13" t="s">
        <v>462</v>
      </c>
      <c r="B322" s="14" t="n">
        <v>45848</v>
      </c>
      <c r="C322" s="15" t="s">
        <v>434</v>
      </c>
      <c r="D322" s="15" t="n">
        <v>2025</v>
      </c>
      <c r="E322" s="16" t="s">
        <v>41</v>
      </c>
      <c r="F322" s="13" t="s">
        <v>83</v>
      </c>
      <c r="G322" s="13" t="s">
        <v>96</v>
      </c>
      <c r="H322" s="17" t="n">
        <v>-181.51</v>
      </c>
      <c r="I322" s="18"/>
    </row>
    <row r="323" customFormat="false" ht="15" hidden="false" customHeight="false" outlineLevel="0" collapsed="false">
      <c r="A323" s="19" t="s">
        <v>463</v>
      </c>
      <c r="B323" s="20" t="n">
        <v>45851</v>
      </c>
      <c r="C323" s="21" t="s">
        <v>434</v>
      </c>
      <c r="D323" s="21" t="n">
        <v>2025</v>
      </c>
      <c r="E323" s="22" t="s">
        <v>45</v>
      </c>
      <c r="F323" s="19" t="s">
        <v>46</v>
      </c>
      <c r="G323" s="19" t="s">
        <v>81</v>
      </c>
      <c r="H323" s="23" t="n">
        <v>1526.22</v>
      </c>
      <c r="I323" s="24"/>
    </row>
    <row r="324" customFormat="false" ht="15" hidden="false" customHeight="false" outlineLevel="0" collapsed="false">
      <c r="A324" s="13" t="s">
        <v>464</v>
      </c>
      <c r="B324" s="14" t="n">
        <v>45852</v>
      </c>
      <c r="C324" s="15" t="s">
        <v>434</v>
      </c>
      <c r="D324" s="15" t="n">
        <v>2025</v>
      </c>
      <c r="E324" s="22" t="s">
        <v>45</v>
      </c>
      <c r="F324" s="13" t="s">
        <v>46</v>
      </c>
      <c r="G324" s="13" t="s">
        <v>104</v>
      </c>
      <c r="H324" s="26" t="n">
        <v>371.39</v>
      </c>
      <c r="I324" s="18"/>
    </row>
    <row r="325" customFormat="false" ht="15" hidden="false" customHeight="false" outlineLevel="0" collapsed="false">
      <c r="A325" s="19" t="s">
        <v>465</v>
      </c>
      <c r="B325" s="20" t="n">
        <v>45853</v>
      </c>
      <c r="C325" s="21" t="s">
        <v>434</v>
      </c>
      <c r="D325" s="21" t="n">
        <v>2025</v>
      </c>
      <c r="E325" s="22" t="s">
        <v>45</v>
      </c>
      <c r="F325" s="19" t="s">
        <v>46</v>
      </c>
      <c r="G325" s="19" t="s">
        <v>104</v>
      </c>
      <c r="H325" s="23" t="n">
        <v>335.05</v>
      </c>
      <c r="I325" s="24"/>
    </row>
    <row r="326" customFormat="false" ht="15" hidden="false" customHeight="false" outlineLevel="0" collapsed="false">
      <c r="A326" s="13" t="s">
        <v>466</v>
      </c>
      <c r="B326" s="14" t="n">
        <v>45853</v>
      </c>
      <c r="C326" s="15" t="s">
        <v>434</v>
      </c>
      <c r="D326" s="15" t="n">
        <v>2025</v>
      </c>
      <c r="E326" s="16" t="s">
        <v>41</v>
      </c>
      <c r="F326" s="13" t="s">
        <v>107</v>
      </c>
      <c r="G326" s="13" t="s">
        <v>141</v>
      </c>
      <c r="H326" s="17" t="n">
        <v>-34.07</v>
      </c>
      <c r="I326" s="18"/>
    </row>
    <row r="327" customFormat="false" ht="15" hidden="false" customHeight="false" outlineLevel="0" collapsed="false">
      <c r="A327" s="19" t="s">
        <v>467</v>
      </c>
      <c r="B327" s="20" t="n">
        <v>45853</v>
      </c>
      <c r="C327" s="21" t="s">
        <v>434</v>
      </c>
      <c r="D327" s="21" t="n">
        <v>2025</v>
      </c>
      <c r="E327" s="16" t="s">
        <v>41</v>
      </c>
      <c r="F327" s="19" t="s">
        <v>107</v>
      </c>
      <c r="G327" s="19" t="s">
        <v>108</v>
      </c>
      <c r="H327" s="25" t="n">
        <v>-105.52</v>
      </c>
      <c r="I327" s="24"/>
    </row>
    <row r="328" customFormat="false" ht="15" hidden="false" customHeight="false" outlineLevel="0" collapsed="false">
      <c r="A328" s="13" t="s">
        <v>468</v>
      </c>
      <c r="B328" s="14" t="n">
        <v>45854</v>
      </c>
      <c r="C328" s="15" t="s">
        <v>434</v>
      </c>
      <c r="D328" s="15" t="n">
        <v>2025</v>
      </c>
      <c r="E328" s="22" t="s">
        <v>45</v>
      </c>
      <c r="F328" s="13" t="s">
        <v>46</v>
      </c>
      <c r="G328" s="13" t="s">
        <v>81</v>
      </c>
      <c r="H328" s="26" t="n">
        <v>1046.65</v>
      </c>
      <c r="I328" s="18"/>
    </row>
    <row r="329" customFormat="false" ht="15" hidden="false" customHeight="false" outlineLevel="0" collapsed="false">
      <c r="A329" s="19" t="s">
        <v>469</v>
      </c>
      <c r="B329" s="20" t="n">
        <v>45854</v>
      </c>
      <c r="C329" s="21" t="s">
        <v>434</v>
      </c>
      <c r="D329" s="21" t="n">
        <v>2025</v>
      </c>
      <c r="E329" s="22" t="s">
        <v>45</v>
      </c>
      <c r="F329" s="19" t="s">
        <v>46</v>
      </c>
      <c r="G329" s="19" t="s">
        <v>70</v>
      </c>
      <c r="H329" s="23" t="n">
        <v>2393.96</v>
      </c>
      <c r="I329" s="24"/>
    </row>
    <row r="330" customFormat="false" ht="15" hidden="false" customHeight="false" outlineLevel="0" collapsed="false">
      <c r="A330" s="13" t="s">
        <v>470</v>
      </c>
      <c r="B330" s="14" t="n">
        <v>45855</v>
      </c>
      <c r="C330" s="15" t="s">
        <v>434</v>
      </c>
      <c r="D330" s="15" t="n">
        <v>2025</v>
      </c>
      <c r="E330" s="22" t="s">
        <v>45</v>
      </c>
      <c r="F330" s="13" t="s">
        <v>46</v>
      </c>
      <c r="G330" s="13" t="s">
        <v>77</v>
      </c>
      <c r="H330" s="26" t="n">
        <v>287.09</v>
      </c>
      <c r="I330" s="18"/>
    </row>
    <row r="331" customFormat="false" ht="15" hidden="false" customHeight="false" outlineLevel="0" collapsed="false">
      <c r="A331" s="19" t="s">
        <v>471</v>
      </c>
      <c r="B331" s="20" t="n">
        <v>45857</v>
      </c>
      <c r="C331" s="21" t="s">
        <v>434</v>
      </c>
      <c r="D331" s="21" t="n">
        <v>2025</v>
      </c>
      <c r="E331" s="16" t="s">
        <v>41</v>
      </c>
      <c r="F331" s="19" t="s">
        <v>87</v>
      </c>
      <c r="G331" s="19" t="s">
        <v>88</v>
      </c>
      <c r="H331" s="25" t="n">
        <v>-137.24</v>
      </c>
      <c r="I331" s="24"/>
    </row>
    <row r="332" customFormat="false" ht="15" hidden="false" customHeight="false" outlineLevel="0" collapsed="false">
      <c r="A332" s="13" t="s">
        <v>472</v>
      </c>
      <c r="B332" s="14" t="n">
        <v>45858</v>
      </c>
      <c r="C332" s="15" t="s">
        <v>434</v>
      </c>
      <c r="D332" s="15" t="n">
        <v>2025</v>
      </c>
      <c r="E332" s="16" t="s">
        <v>41</v>
      </c>
      <c r="F332" s="13" t="s">
        <v>67</v>
      </c>
      <c r="G332" s="13" t="s">
        <v>132</v>
      </c>
      <c r="H332" s="17" t="n">
        <v>-59.64</v>
      </c>
      <c r="I332" s="18"/>
    </row>
    <row r="333" customFormat="false" ht="15" hidden="false" customHeight="false" outlineLevel="0" collapsed="false">
      <c r="A333" s="19" t="s">
        <v>473</v>
      </c>
      <c r="B333" s="20" t="n">
        <v>45859</v>
      </c>
      <c r="C333" s="21" t="s">
        <v>434</v>
      </c>
      <c r="D333" s="21" t="n">
        <v>2025</v>
      </c>
      <c r="E333" s="22" t="s">
        <v>45</v>
      </c>
      <c r="F333" s="19" t="s">
        <v>46</v>
      </c>
      <c r="G333" s="19" t="s">
        <v>47</v>
      </c>
      <c r="H333" s="23" t="n">
        <v>285.59</v>
      </c>
      <c r="I333" s="24"/>
    </row>
    <row r="334" customFormat="false" ht="15" hidden="false" customHeight="false" outlineLevel="0" collapsed="false">
      <c r="A334" s="13" t="s">
        <v>474</v>
      </c>
      <c r="B334" s="14" t="n">
        <v>45860</v>
      </c>
      <c r="C334" s="15" t="s">
        <v>434</v>
      </c>
      <c r="D334" s="15" t="n">
        <v>2025</v>
      </c>
      <c r="E334" s="16" t="s">
        <v>41</v>
      </c>
      <c r="F334" s="13" t="s">
        <v>87</v>
      </c>
      <c r="G334" s="13" t="s">
        <v>130</v>
      </c>
      <c r="H334" s="17" t="n">
        <v>-167.42</v>
      </c>
      <c r="I334" s="18"/>
    </row>
    <row r="335" customFormat="false" ht="15" hidden="false" customHeight="false" outlineLevel="0" collapsed="false">
      <c r="A335" s="19" t="s">
        <v>475</v>
      </c>
      <c r="B335" s="20" t="n">
        <v>45860</v>
      </c>
      <c r="C335" s="21" t="s">
        <v>434</v>
      </c>
      <c r="D335" s="21" t="n">
        <v>2025</v>
      </c>
      <c r="E335" s="16" t="s">
        <v>41</v>
      </c>
      <c r="F335" s="19" t="s">
        <v>92</v>
      </c>
      <c r="G335" s="19" t="s">
        <v>476</v>
      </c>
      <c r="H335" s="25" t="n">
        <v>-143.98</v>
      </c>
      <c r="I335" s="24"/>
    </row>
    <row r="336" customFormat="false" ht="15" hidden="false" customHeight="false" outlineLevel="0" collapsed="false">
      <c r="A336" s="13" t="s">
        <v>477</v>
      </c>
      <c r="B336" s="14" t="n">
        <v>45861</v>
      </c>
      <c r="C336" s="15" t="s">
        <v>434</v>
      </c>
      <c r="D336" s="15" t="n">
        <v>2025</v>
      </c>
      <c r="E336" s="16" t="s">
        <v>41</v>
      </c>
      <c r="F336" s="13" t="s">
        <v>83</v>
      </c>
      <c r="G336" s="13" t="s">
        <v>126</v>
      </c>
      <c r="H336" s="17" t="n">
        <v>-160.87</v>
      </c>
      <c r="I336" s="18"/>
    </row>
    <row r="337" customFormat="false" ht="15" hidden="false" customHeight="false" outlineLevel="0" collapsed="false">
      <c r="A337" s="19" t="s">
        <v>478</v>
      </c>
      <c r="B337" s="20" t="n">
        <v>45861</v>
      </c>
      <c r="C337" s="21" t="s">
        <v>434</v>
      </c>
      <c r="D337" s="21" t="n">
        <v>2025</v>
      </c>
      <c r="E337" s="16" t="s">
        <v>41</v>
      </c>
      <c r="F337" s="19" t="s">
        <v>83</v>
      </c>
      <c r="G337" s="19" t="s">
        <v>84</v>
      </c>
      <c r="H337" s="25" t="n">
        <v>-137.94</v>
      </c>
      <c r="I337" s="24"/>
    </row>
    <row r="338" customFormat="false" ht="15" hidden="false" customHeight="false" outlineLevel="0" collapsed="false">
      <c r="A338" s="13" t="s">
        <v>479</v>
      </c>
      <c r="B338" s="14" t="n">
        <v>45862</v>
      </c>
      <c r="C338" s="15" t="s">
        <v>434</v>
      </c>
      <c r="D338" s="15" t="n">
        <v>2025</v>
      </c>
      <c r="E338" s="22" t="s">
        <v>45</v>
      </c>
      <c r="F338" s="13" t="s">
        <v>46</v>
      </c>
      <c r="G338" s="13" t="s">
        <v>70</v>
      </c>
      <c r="H338" s="26" t="n">
        <v>709.510000000001</v>
      </c>
      <c r="I338" s="18"/>
    </row>
    <row r="339" customFormat="false" ht="15" hidden="false" customHeight="false" outlineLevel="0" collapsed="false">
      <c r="A339" s="19" t="s">
        <v>480</v>
      </c>
      <c r="B339" s="20" t="n">
        <v>45863</v>
      </c>
      <c r="C339" s="21" t="s">
        <v>434</v>
      </c>
      <c r="D339" s="21" t="n">
        <v>2025</v>
      </c>
      <c r="E339" s="22" t="s">
        <v>45</v>
      </c>
      <c r="F339" s="19" t="s">
        <v>46</v>
      </c>
      <c r="G339" s="19" t="s">
        <v>77</v>
      </c>
      <c r="H339" s="23" t="n">
        <v>274.31</v>
      </c>
      <c r="I339" s="24"/>
    </row>
    <row r="340" customFormat="false" ht="15" hidden="false" customHeight="false" outlineLevel="0" collapsed="false">
      <c r="A340" s="13" t="s">
        <v>481</v>
      </c>
      <c r="B340" s="14" t="n">
        <v>45864</v>
      </c>
      <c r="C340" s="15" t="s">
        <v>434</v>
      </c>
      <c r="D340" s="15" t="n">
        <v>2025</v>
      </c>
      <c r="E340" s="22" t="s">
        <v>45</v>
      </c>
      <c r="F340" s="13" t="s">
        <v>46</v>
      </c>
      <c r="G340" s="13" t="s">
        <v>98</v>
      </c>
      <c r="H340" s="26" t="n">
        <v>362.29</v>
      </c>
      <c r="I340" s="18"/>
    </row>
    <row r="341" customFormat="false" ht="15" hidden="false" customHeight="false" outlineLevel="0" collapsed="false">
      <c r="A341" s="19" t="s">
        <v>482</v>
      </c>
      <c r="B341" s="20" t="n">
        <v>45864</v>
      </c>
      <c r="C341" s="21" t="s">
        <v>434</v>
      </c>
      <c r="D341" s="21" t="n">
        <v>2025</v>
      </c>
      <c r="E341" s="22" t="s">
        <v>45</v>
      </c>
      <c r="F341" s="19" t="s">
        <v>46</v>
      </c>
      <c r="G341" s="19" t="s">
        <v>98</v>
      </c>
      <c r="H341" s="23" t="n">
        <v>530.47</v>
      </c>
      <c r="I341" s="24"/>
    </row>
    <row r="342" customFormat="false" ht="15" hidden="false" customHeight="false" outlineLevel="0" collapsed="false">
      <c r="A342" s="13" t="s">
        <v>483</v>
      </c>
      <c r="B342" s="14" t="n">
        <v>45864</v>
      </c>
      <c r="C342" s="15" t="s">
        <v>434</v>
      </c>
      <c r="D342" s="15" t="n">
        <v>2025</v>
      </c>
      <c r="E342" s="16" t="s">
        <v>41</v>
      </c>
      <c r="F342" s="13" t="s">
        <v>87</v>
      </c>
      <c r="G342" s="13" t="s">
        <v>113</v>
      </c>
      <c r="H342" s="17" t="n">
        <v>-173.21</v>
      </c>
      <c r="I342" s="18"/>
    </row>
    <row r="343" customFormat="false" ht="15" hidden="false" customHeight="false" outlineLevel="0" collapsed="false">
      <c r="A343" s="19" t="s">
        <v>484</v>
      </c>
      <c r="B343" s="20" t="n">
        <v>45866</v>
      </c>
      <c r="C343" s="21" t="s">
        <v>434</v>
      </c>
      <c r="D343" s="21" t="n">
        <v>2025</v>
      </c>
      <c r="E343" s="16" t="s">
        <v>41</v>
      </c>
      <c r="F343" s="19" t="s">
        <v>83</v>
      </c>
      <c r="G343" s="19" t="s">
        <v>485</v>
      </c>
      <c r="H343" s="25" t="n">
        <v>-446.89</v>
      </c>
      <c r="I343" s="24"/>
    </row>
    <row r="344" customFormat="false" ht="15" hidden="false" customHeight="false" outlineLevel="0" collapsed="false">
      <c r="A344" s="13" t="s">
        <v>486</v>
      </c>
      <c r="B344" s="14" t="n">
        <v>45870</v>
      </c>
      <c r="C344" s="15" t="s">
        <v>487</v>
      </c>
      <c r="D344" s="15" t="n">
        <v>2025</v>
      </c>
      <c r="E344" s="22" t="s">
        <v>45</v>
      </c>
      <c r="F344" s="13" t="s">
        <v>46</v>
      </c>
      <c r="G344" s="13" t="s">
        <v>79</v>
      </c>
      <c r="H344" s="26" t="n">
        <v>120.54</v>
      </c>
      <c r="I344" s="18"/>
    </row>
    <row r="345" customFormat="false" ht="15" hidden="false" customHeight="false" outlineLevel="0" collapsed="false">
      <c r="A345" s="19" t="s">
        <v>488</v>
      </c>
      <c r="B345" s="20" t="n">
        <v>45871</v>
      </c>
      <c r="C345" s="21" t="s">
        <v>487</v>
      </c>
      <c r="D345" s="21" t="n">
        <v>2025</v>
      </c>
      <c r="E345" s="22" t="s">
        <v>45</v>
      </c>
      <c r="F345" s="19" t="s">
        <v>46</v>
      </c>
      <c r="G345" s="19" t="s">
        <v>231</v>
      </c>
      <c r="H345" s="23" t="n">
        <v>1431.67</v>
      </c>
      <c r="I345" s="24"/>
    </row>
    <row r="346" customFormat="false" ht="15" hidden="false" customHeight="false" outlineLevel="0" collapsed="false">
      <c r="A346" s="13" t="s">
        <v>489</v>
      </c>
      <c r="B346" s="14" t="n">
        <v>45871</v>
      </c>
      <c r="C346" s="15" t="s">
        <v>487</v>
      </c>
      <c r="D346" s="15" t="n">
        <v>2025</v>
      </c>
      <c r="E346" s="16" t="s">
        <v>41</v>
      </c>
      <c r="F346" s="13" t="s">
        <v>42</v>
      </c>
      <c r="G346" s="13" t="s">
        <v>490</v>
      </c>
      <c r="H346" s="17" t="n">
        <v>-1499.38</v>
      </c>
      <c r="I346" s="18"/>
    </row>
    <row r="347" customFormat="false" ht="15" hidden="false" customHeight="false" outlineLevel="0" collapsed="false">
      <c r="A347" s="19" t="s">
        <v>491</v>
      </c>
      <c r="B347" s="20" t="n">
        <v>45871</v>
      </c>
      <c r="C347" s="21" t="s">
        <v>487</v>
      </c>
      <c r="D347" s="21" t="n">
        <v>2025</v>
      </c>
      <c r="E347" s="16" t="s">
        <v>41</v>
      </c>
      <c r="F347" s="19" t="s">
        <v>107</v>
      </c>
      <c r="G347" s="19" t="s">
        <v>120</v>
      </c>
      <c r="H347" s="25" t="n">
        <v>-35.92</v>
      </c>
      <c r="I347" s="24"/>
    </row>
    <row r="348" customFormat="false" ht="15" hidden="false" customHeight="false" outlineLevel="0" collapsed="false">
      <c r="A348" s="13" t="s">
        <v>492</v>
      </c>
      <c r="B348" s="14" t="n">
        <v>45871</v>
      </c>
      <c r="C348" s="15" t="s">
        <v>487</v>
      </c>
      <c r="D348" s="15" t="n">
        <v>2025</v>
      </c>
      <c r="E348" s="16" t="s">
        <v>41</v>
      </c>
      <c r="F348" s="13" t="s">
        <v>53</v>
      </c>
      <c r="G348" s="13" t="s">
        <v>493</v>
      </c>
      <c r="H348" s="17" t="n">
        <v>-147.09</v>
      </c>
      <c r="I348" s="18"/>
    </row>
    <row r="349" customFormat="false" ht="15" hidden="false" customHeight="false" outlineLevel="0" collapsed="false">
      <c r="A349" s="19" t="s">
        <v>494</v>
      </c>
      <c r="B349" s="20" t="n">
        <v>45872</v>
      </c>
      <c r="C349" s="21" t="s">
        <v>487</v>
      </c>
      <c r="D349" s="21" t="n">
        <v>2025</v>
      </c>
      <c r="E349" s="16" t="s">
        <v>41</v>
      </c>
      <c r="F349" s="19" t="s">
        <v>61</v>
      </c>
      <c r="G349" s="19" t="s">
        <v>495</v>
      </c>
      <c r="H349" s="25" t="n">
        <v>-81.49</v>
      </c>
      <c r="I349" s="24"/>
    </row>
    <row r="350" customFormat="false" ht="15" hidden="false" customHeight="false" outlineLevel="0" collapsed="false">
      <c r="A350" s="13" t="s">
        <v>496</v>
      </c>
      <c r="B350" s="14" t="n">
        <v>45873</v>
      </c>
      <c r="C350" s="15" t="s">
        <v>487</v>
      </c>
      <c r="D350" s="15" t="n">
        <v>2025</v>
      </c>
      <c r="E350" s="22" t="s">
        <v>45</v>
      </c>
      <c r="F350" s="13" t="s">
        <v>46</v>
      </c>
      <c r="G350" s="13" t="s">
        <v>231</v>
      </c>
      <c r="H350" s="26" t="n">
        <v>54.11</v>
      </c>
      <c r="I350" s="18"/>
    </row>
    <row r="351" customFormat="false" ht="15" hidden="false" customHeight="false" outlineLevel="0" collapsed="false">
      <c r="A351" s="19" t="s">
        <v>497</v>
      </c>
      <c r="B351" s="20" t="n">
        <v>45873</v>
      </c>
      <c r="C351" s="21" t="s">
        <v>487</v>
      </c>
      <c r="D351" s="21" t="n">
        <v>2025</v>
      </c>
      <c r="E351" s="16" t="s">
        <v>41</v>
      </c>
      <c r="F351" s="19" t="s">
        <v>58</v>
      </c>
      <c r="G351" s="19" t="s">
        <v>498</v>
      </c>
      <c r="H351" s="25" t="n">
        <v>-2195.3</v>
      </c>
      <c r="I351" s="24"/>
    </row>
    <row r="352" customFormat="false" ht="15" hidden="false" customHeight="false" outlineLevel="0" collapsed="false">
      <c r="A352" s="13" t="s">
        <v>499</v>
      </c>
      <c r="B352" s="14" t="n">
        <v>45873</v>
      </c>
      <c r="C352" s="15" t="s">
        <v>487</v>
      </c>
      <c r="D352" s="15" t="n">
        <v>2025</v>
      </c>
      <c r="E352" s="16" t="s">
        <v>41</v>
      </c>
      <c r="F352" s="13" t="s">
        <v>64</v>
      </c>
      <c r="G352" s="13" t="s">
        <v>500</v>
      </c>
      <c r="H352" s="17" t="n">
        <v>-121.77</v>
      </c>
      <c r="I352" s="18"/>
    </row>
    <row r="353" customFormat="false" ht="15" hidden="false" customHeight="false" outlineLevel="0" collapsed="false">
      <c r="A353" s="19" t="s">
        <v>501</v>
      </c>
      <c r="B353" s="20" t="n">
        <v>45874</v>
      </c>
      <c r="C353" s="21" t="s">
        <v>487</v>
      </c>
      <c r="D353" s="21" t="n">
        <v>2025</v>
      </c>
      <c r="E353" s="22" t="s">
        <v>45</v>
      </c>
      <c r="F353" s="19" t="s">
        <v>46</v>
      </c>
      <c r="G353" s="19" t="s">
        <v>77</v>
      </c>
      <c r="H353" s="23" t="n">
        <v>52.63</v>
      </c>
      <c r="I353" s="24"/>
    </row>
    <row r="354" customFormat="false" ht="15" hidden="false" customHeight="false" outlineLevel="0" collapsed="false">
      <c r="A354" s="13" t="s">
        <v>502</v>
      </c>
      <c r="B354" s="14" t="n">
        <v>45874</v>
      </c>
      <c r="C354" s="15" t="s">
        <v>487</v>
      </c>
      <c r="D354" s="15" t="n">
        <v>2025</v>
      </c>
      <c r="E354" s="22" t="s">
        <v>45</v>
      </c>
      <c r="F354" s="13" t="s">
        <v>46</v>
      </c>
      <c r="G354" s="13" t="s">
        <v>70</v>
      </c>
      <c r="H354" s="17" t="n">
        <v>-82.9</v>
      </c>
      <c r="I354" s="18"/>
    </row>
    <row r="355" customFormat="false" ht="15" hidden="false" customHeight="false" outlineLevel="0" collapsed="false">
      <c r="A355" s="19" t="s">
        <v>503</v>
      </c>
      <c r="B355" s="20" t="n">
        <v>45874</v>
      </c>
      <c r="C355" s="21" t="s">
        <v>487</v>
      </c>
      <c r="D355" s="21" t="n">
        <v>2025</v>
      </c>
      <c r="E355" s="16" t="s">
        <v>41</v>
      </c>
      <c r="F355" s="19" t="s">
        <v>107</v>
      </c>
      <c r="G355" s="19" t="s">
        <v>108</v>
      </c>
      <c r="H355" s="25" t="n">
        <v>-40.16</v>
      </c>
      <c r="I355" s="24"/>
    </row>
    <row r="356" customFormat="false" ht="15" hidden="false" customHeight="false" outlineLevel="0" collapsed="false">
      <c r="A356" s="13" t="s">
        <v>504</v>
      </c>
      <c r="B356" s="14" t="n">
        <v>45875</v>
      </c>
      <c r="C356" s="15" t="s">
        <v>487</v>
      </c>
      <c r="D356" s="15" t="n">
        <v>2025</v>
      </c>
      <c r="E356" s="22" t="s">
        <v>45</v>
      </c>
      <c r="F356" s="13" t="s">
        <v>46</v>
      </c>
      <c r="G356" s="13" t="s">
        <v>98</v>
      </c>
      <c r="H356" s="26" t="n">
        <v>3402.65</v>
      </c>
      <c r="I356" s="18"/>
    </row>
    <row r="357" customFormat="false" ht="15" hidden="false" customHeight="false" outlineLevel="0" collapsed="false">
      <c r="A357" s="19" t="s">
        <v>505</v>
      </c>
      <c r="B357" s="20" t="n">
        <v>45876</v>
      </c>
      <c r="C357" s="21" t="s">
        <v>487</v>
      </c>
      <c r="D357" s="21" t="n">
        <v>2025</v>
      </c>
      <c r="E357" s="22" t="s">
        <v>45</v>
      </c>
      <c r="F357" s="19" t="s">
        <v>46</v>
      </c>
      <c r="G357" s="19" t="s">
        <v>79</v>
      </c>
      <c r="H357" s="23" t="n">
        <v>201.46</v>
      </c>
      <c r="I357" s="24"/>
    </row>
    <row r="358" customFormat="false" ht="15" hidden="false" customHeight="false" outlineLevel="0" collapsed="false">
      <c r="A358" s="13" t="s">
        <v>506</v>
      </c>
      <c r="B358" s="14" t="n">
        <v>45876</v>
      </c>
      <c r="C358" s="15" t="s">
        <v>487</v>
      </c>
      <c r="D358" s="15" t="n">
        <v>2025</v>
      </c>
      <c r="E358" s="16" t="s">
        <v>41</v>
      </c>
      <c r="F358" s="13" t="s">
        <v>83</v>
      </c>
      <c r="G358" s="13" t="s">
        <v>84</v>
      </c>
      <c r="H358" s="17" t="n">
        <v>-471.37</v>
      </c>
      <c r="I358" s="18"/>
    </row>
    <row r="359" customFormat="false" ht="15" hidden="false" customHeight="false" outlineLevel="0" collapsed="false">
      <c r="A359" s="19" t="s">
        <v>507</v>
      </c>
      <c r="B359" s="20" t="n">
        <v>45877</v>
      </c>
      <c r="C359" s="21" t="s">
        <v>487</v>
      </c>
      <c r="D359" s="21" t="n">
        <v>2025</v>
      </c>
      <c r="E359" s="22" t="s">
        <v>45</v>
      </c>
      <c r="F359" s="19" t="s">
        <v>46</v>
      </c>
      <c r="G359" s="19" t="s">
        <v>70</v>
      </c>
      <c r="H359" s="23" t="n">
        <v>80.92</v>
      </c>
      <c r="I359" s="24"/>
    </row>
    <row r="360" customFormat="false" ht="15" hidden="false" customHeight="false" outlineLevel="0" collapsed="false">
      <c r="A360" s="13" t="s">
        <v>508</v>
      </c>
      <c r="B360" s="14" t="n">
        <v>45878</v>
      </c>
      <c r="C360" s="15" t="s">
        <v>487</v>
      </c>
      <c r="D360" s="15" t="n">
        <v>2025</v>
      </c>
      <c r="E360" s="22" t="s">
        <v>45</v>
      </c>
      <c r="F360" s="13" t="s">
        <v>46</v>
      </c>
      <c r="G360" s="13" t="s">
        <v>77</v>
      </c>
      <c r="H360" s="26" t="n">
        <v>25.61</v>
      </c>
      <c r="I360" s="18"/>
    </row>
    <row r="361" customFormat="false" ht="15" hidden="false" customHeight="false" outlineLevel="0" collapsed="false">
      <c r="A361" s="19" t="s">
        <v>509</v>
      </c>
      <c r="B361" s="20" t="n">
        <v>45878</v>
      </c>
      <c r="C361" s="21" t="s">
        <v>487</v>
      </c>
      <c r="D361" s="21" t="n">
        <v>2025</v>
      </c>
      <c r="E361" s="16" t="s">
        <v>41</v>
      </c>
      <c r="F361" s="19" t="s">
        <v>92</v>
      </c>
      <c r="G361" s="19" t="s">
        <v>134</v>
      </c>
      <c r="H361" s="25" t="n">
        <v>-55.35</v>
      </c>
      <c r="I361" s="24"/>
    </row>
    <row r="362" customFormat="false" ht="15" hidden="false" customHeight="false" outlineLevel="0" collapsed="false">
      <c r="A362" s="13" t="s">
        <v>510</v>
      </c>
      <c r="B362" s="14" t="n">
        <v>45879</v>
      </c>
      <c r="C362" s="15" t="s">
        <v>487</v>
      </c>
      <c r="D362" s="15" t="n">
        <v>2025</v>
      </c>
      <c r="E362" s="22" t="s">
        <v>45</v>
      </c>
      <c r="F362" s="13" t="s">
        <v>46</v>
      </c>
      <c r="G362" s="13" t="s">
        <v>77</v>
      </c>
      <c r="H362" s="26" t="n">
        <v>771</v>
      </c>
      <c r="I362" s="18"/>
    </row>
    <row r="363" customFormat="false" ht="15" hidden="false" customHeight="false" outlineLevel="0" collapsed="false">
      <c r="A363" s="19" t="s">
        <v>511</v>
      </c>
      <c r="B363" s="20" t="n">
        <v>45880</v>
      </c>
      <c r="C363" s="21" t="s">
        <v>487</v>
      </c>
      <c r="D363" s="21" t="n">
        <v>2025</v>
      </c>
      <c r="E363" s="22" t="s">
        <v>45</v>
      </c>
      <c r="F363" s="19" t="s">
        <v>46</v>
      </c>
      <c r="G363" s="19" t="s">
        <v>70</v>
      </c>
      <c r="H363" s="23" t="n">
        <v>781.3</v>
      </c>
      <c r="I363" s="24"/>
    </row>
    <row r="364" customFormat="false" ht="15" hidden="false" customHeight="false" outlineLevel="0" collapsed="false">
      <c r="A364" s="13" t="s">
        <v>512</v>
      </c>
      <c r="B364" s="14" t="n">
        <v>45880</v>
      </c>
      <c r="C364" s="15" t="s">
        <v>487</v>
      </c>
      <c r="D364" s="15" t="n">
        <v>2025</v>
      </c>
      <c r="E364" s="22" t="s">
        <v>45</v>
      </c>
      <c r="F364" s="13" t="s">
        <v>46</v>
      </c>
      <c r="G364" s="13" t="s">
        <v>77</v>
      </c>
      <c r="H364" s="26" t="n">
        <v>1219.97</v>
      </c>
      <c r="I364" s="18"/>
    </row>
    <row r="365" customFormat="false" ht="15" hidden="false" customHeight="false" outlineLevel="0" collapsed="false">
      <c r="A365" s="19" t="s">
        <v>513</v>
      </c>
      <c r="B365" s="20" t="n">
        <v>45880</v>
      </c>
      <c r="C365" s="21" t="s">
        <v>487</v>
      </c>
      <c r="D365" s="21" t="n">
        <v>2025</v>
      </c>
      <c r="E365" s="22" t="s">
        <v>45</v>
      </c>
      <c r="F365" s="19" t="s">
        <v>46</v>
      </c>
      <c r="G365" s="19" t="s">
        <v>104</v>
      </c>
      <c r="H365" s="23" t="n">
        <v>376.2</v>
      </c>
      <c r="I365" s="24"/>
    </row>
    <row r="366" customFormat="false" ht="15" hidden="false" customHeight="false" outlineLevel="0" collapsed="false">
      <c r="A366" s="13" t="s">
        <v>514</v>
      </c>
      <c r="B366" s="14" t="n">
        <v>45880</v>
      </c>
      <c r="C366" s="15" t="s">
        <v>487</v>
      </c>
      <c r="D366" s="15" t="n">
        <v>2025</v>
      </c>
      <c r="E366" s="22" t="s">
        <v>45</v>
      </c>
      <c r="F366" s="13" t="s">
        <v>46</v>
      </c>
      <c r="G366" s="13" t="s">
        <v>79</v>
      </c>
      <c r="H366" s="17" t="n">
        <v>-616.150000000001</v>
      </c>
      <c r="I366" s="18"/>
    </row>
    <row r="367" customFormat="false" ht="15" hidden="false" customHeight="false" outlineLevel="0" collapsed="false">
      <c r="A367" s="19" t="s">
        <v>515</v>
      </c>
      <c r="B367" s="20" t="n">
        <v>45880</v>
      </c>
      <c r="C367" s="21" t="s">
        <v>487</v>
      </c>
      <c r="D367" s="21" t="n">
        <v>2025</v>
      </c>
      <c r="E367" s="16" t="s">
        <v>41</v>
      </c>
      <c r="F367" s="19" t="s">
        <v>83</v>
      </c>
      <c r="G367" s="19" t="s">
        <v>126</v>
      </c>
      <c r="H367" s="25" t="n">
        <v>-143.87</v>
      </c>
      <c r="I367" s="24"/>
    </row>
    <row r="368" customFormat="false" ht="15" hidden="false" customHeight="false" outlineLevel="0" collapsed="false">
      <c r="A368" s="13" t="s">
        <v>516</v>
      </c>
      <c r="B368" s="14" t="n">
        <v>45880</v>
      </c>
      <c r="C368" s="15" t="s">
        <v>487</v>
      </c>
      <c r="D368" s="15" t="n">
        <v>2025</v>
      </c>
      <c r="E368" s="16" t="s">
        <v>41</v>
      </c>
      <c r="F368" s="13" t="s">
        <v>92</v>
      </c>
      <c r="G368" s="13" t="s">
        <v>136</v>
      </c>
      <c r="H368" s="17" t="n">
        <v>-58.92</v>
      </c>
      <c r="I368" s="18"/>
    </row>
    <row r="369" customFormat="false" ht="15" hidden="false" customHeight="false" outlineLevel="0" collapsed="false">
      <c r="A369" s="19" t="s">
        <v>517</v>
      </c>
      <c r="B369" s="20" t="n">
        <v>45883</v>
      </c>
      <c r="C369" s="21" t="s">
        <v>487</v>
      </c>
      <c r="D369" s="21" t="n">
        <v>2025</v>
      </c>
      <c r="E369" s="16" t="s">
        <v>41</v>
      </c>
      <c r="F369" s="19" t="s">
        <v>87</v>
      </c>
      <c r="G369" s="19" t="s">
        <v>130</v>
      </c>
      <c r="H369" s="25" t="n">
        <v>-577.68</v>
      </c>
      <c r="I369" s="24"/>
    </row>
    <row r="370" customFormat="false" ht="15" hidden="false" customHeight="false" outlineLevel="0" collapsed="false">
      <c r="A370" s="13" t="s">
        <v>518</v>
      </c>
      <c r="B370" s="14" t="n">
        <v>45884</v>
      </c>
      <c r="C370" s="15" t="s">
        <v>487</v>
      </c>
      <c r="D370" s="15" t="n">
        <v>2025</v>
      </c>
      <c r="E370" s="22" t="s">
        <v>45</v>
      </c>
      <c r="F370" s="13" t="s">
        <v>46</v>
      </c>
      <c r="G370" s="13" t="s">
        <v>81</v>
      </c>
      <c r="H370" s="26" t="n">
        <v>13.73</v>
      </c>
      <c r="I370" s="18"/>
    </row>
    <row r="371" customFormat="false" ht="15" hidden="false" customHeight="false" outlineLevel="0" collapsed="false">
      <c r="A371" s="19" t="s">
        <v>519</v>
      </c>
      <c r="B371" s="20" t="n">
        <v>45884</v>
      </c>
      <c r="C371" s="21" t="s">
        <v>487</v>
      </c>
      <c r="D371" s="21" t="n">
        <v>2025</v>
      </c>
      <c r="E371" s="16" t="s">
        <v>41</v>
      </c>
      <c r="F371" s="19" t="s">
        <v>67</v>
      </c>
      <c r="G371" s="19" t="s">
        <v>520</v>
      </c>
      <c r="H371" s="25" t="n">
        <v>-186.13</v>
      </c>
      <c r="I371" s="24"/>
    </row>
    <row r="372" customFormat="false" ht="15" hidden="false" customHeight="false" outlineLevel="0" collapsed="false">
      <c r="A372" s="13" t="s">
        <v>521</v>
      </c>
      <c r="B372" s="14" t="n">
        <v>45885</v>
      </c>
      <c r="C372" s="15" t="s">
        <v>487</v>
      </c>
      <c r="D372" s="15" t="n">
        <v>2025</v>
      </c>
      <c r="E372" s="22" t="s">
        <v>45</v>
      </c>
      <c r="F372" s="13" t="s">
        <v>46</v>
      </c>
      <c r="G372" s="13" t="s">
        <v>56</v>
      </c>
      <c r="H372" s="26" t="n">
        <v>2226.87</v>
      </c>
      <c r="I372" s="18"/>
    </row>
    <row r="373" customFormat="false" ht="15" hidden="false" customHeight="false" outlineLevel="0" collapsed="false">
      <c r="A373" s="19" t="s">
        <v>522</v>
      </c>
      <c r="B373" s="20" t="n">
        <v>45885</v>
      </c>
      <c r="C373" s="21" t="s">
        <v>487</v>
      </c>
      <c r="D373" s="21" t="n">
        <v>2025</v>
      </c>
      <c r="E373" s="22" t="s">
        <v>45</v>
      </c>
      <c r="F373" s="19" t="s">
        <v>46</v>
      </c>
      <c r="G373" s="19" t="s">
        <v>72</v>
      </c>
      <c r="H373" s="25" t="n">
        <v>-92.47</v>
      </c>
      <c r="I373" s="24"/>
    </row>
    <row r="374" customFormat="false" ht="15" hidden="false" customHeight="false" outlineLevel="0" collapsed="false">
      <c r="A374" s="13" t="s">
        <v>523</v>
      </c>
      <c r="B374" s="14" t="n">
        <v>45885</v>
      </c>
      <c r="C374" s="15" t="s">
        <v>487</v>
      </c>
      <c r="D374" s="15" t="n">
        <v>2025</v>
      </c>
      <c r="E374" s="16" t="s">
        <v>41</v>
      </c>
      <c r="F374" s="13" t="s">
        <v>74</v>
      </c>
      <c r="G374" s="13" t="s">
        <v>524</v>
      </c>
      <c r="H374" s="17" t="n">
        <v>-269.18</v>
      </c>
      <c r="I374" s="18"/>
    </row>
    <row r="375" customFormat="false" ht="15" hidden="false" customHeight="false" outlineLevel="0" collapsed="false">
      <c r="A375" s="19" t="s">
        <v>525</v>
      </c>
      <c r="B375" s="20" t="n">
        <v>45885</v>
      </c>
      <c r="C375" s="21" t="s">
        <v>487</v>
      </c>
      <c r="D375" s="21" t="n">
        <v>2025</v>
      </c>
      <c r="E375" s="16" t="s">
        <v>41</v>
      </c>
      <c r="F375" s="19" t="s">
        <v>107</v>
      </c>
      <c r="G375" s="19" t="s">
        <v>141</v>
      </c>
      <c r="H375" s="25" t="n">
        <v>-28.42</v>
      </c>
      <c r="I375" s="24"/>
    </row>
    <row r="376" customFormat="false" ht="15" hidden="false" customHeight="false" outlineLevel="0" collapsed="false">
      <c r="A376" s="13" t="s">
        <v>526</v>
      </c>
      <c r="B376" s="14" t="n">
        <v>45886</v>
      </c>
      <c r="C376" s="15" t="s">
        <v>487</v>
      </c>
      <c r="D376" s="15" t="n">
        <v>2025</v>
      </c>
      <c r="E376" s="16" t="s">
        <v>41</v>
      </c>
      <c r="F376" s="13" t="s">
        <v>107</v>
      </c>
      <c r="G376" s="13" t="s">
        <v>118</v>
      </c>
      <c r="H376" s="17" t="n">
        <v>-107.4</v>
      </c>
      <c r="I376" s="18"/>
    </row>
    <row r="377" customFormat="false" ht="15" hidden="false" customHeight="false" outlineLevel="0" collapsed="false">
      <c r="A377" s="19" t="s">
        <v>527</v>
      </c>
      <c r="B377" s="20" t="n">
        <v>45887</v>
      </c>
      <c r="C377" s="21" t="s">
        <v>487</v>
      </c>
      <c r="D377" s="21" t="n">
        <v>2025</v>
      </c>
      <c r="E377" s="22" t="s">
        <v>45</v>
      </c>
      <c r="F377" s="19" t="s">
        <v>46</v>
      </c>
      <c r="G377" s="19" t="s">
        <v>47</v>
      </c>
      <c r="H377" s="23" t="n">
        <v>681.51</v>
      </c>
      <c r="I377" s="24"/>
    </row>
    <row r="378" customFormat="false" ht="15" hidden="false" customHeight="false" outlineLevel="0" collapsed="false">
      <c r="A378" s="13" t="s">
        <v>528</v>
      </c>
      <c r="B378" s="14" t="n">
        <v>45887</v>
      </c>
      <c r="C378" s="15" t="s">
        <v>487</v>
      </c>
      <c r="D378" s="15" t="n">
        <v>2025</v>
      </c>
      <c r="E378" s="22" t="s">
        <v>45</v>
      </c>
      <c r="F378" s="13" t="s">
        <v>46</v>
      </c>
      <c r="G378" s="13" t="s">
        <v>81</v>
      </c>
      <c r="H378" s="26" t="n">
        <v>252.06</v>
      </c>
      <c r="I378" s="18"/>
    </row>
    <row r="379" customFormat="false" ht="15" hidden="false" customHeight="false" outlineLevel="0" collapsed="false">
      <c r="A379" s="19" t="s">
        <v>529</v>
      </c>
      <c r="B379" s="20" t="n">
        <v>45887</v>
      </c>
      <c r="C379" s="21" t="s">
        <v>487</v>
      </c>
      <c r="D379" s="21" t="n">
        <v>2025</v>
      </c>
      <c r="E379" s="22" t="s">
        <v>45</v>
      </c>
      <c r="F379" s="19" t="s">
        <v>46</v>
      </c>
      <c r="G379" s="19" t="s">
        <v>231</v>
      </c>
      <c r="H379" s="23" t="n">
        <v>169.48</v>
      </c>
      <c r="I379" s="24"/>
    </row>
    <row r="380" customFormat="false" ht="15" hidden="false" customHeight="false" outlineLevel="0" collapsed="false">
      <c r="A380" s="13" t="s">
        <v>530</v>
      </c>
      <c r="B380" s="14" t="n">
        <v>45888</v>
      </c>
      <c r="C380" s="15" t="s">
        <v>487</v>
      </c>
      <c r="D380" s="15" t="n">
        <v>2025</v>
      </c>
      <c r="E380" s="16" t="s">
        <v>41</v>
      </c>
      <c r="F380" s="13" t="s">
        <v>49</v>
      </c>
      <c r="G380" s="13" t="s">
        <v>139</v>
      </c>
      <c r="H380" s="17" t="n">
        <v>-3792.4</v>
      </c>
      <c r="I380" s="18"/>
    </row>
    <row r="381" customFormat="false" ht="15" hidden="false" customHeight="false" outlineLevel="0" collapsed="false">
      <c r="A381" s="19" t="s">
        <v>531</v>
      </c>
      <c r="B381" s="20" t="n">
        <v>45888</v>
      </c>
      <c r="C381" s="21" t="s">
        <v>487</v>
      </c>
      <c r="D381" s="21" t="n">
        <v>2025</v>
      </c>
      <c r="E381" s="16" t="s">
        <v>41</v>
      </c>
      <c r="F381" s="19" t="s">
        <v>49</v>
      </c>
      <c r="G381" s="19" t="s">
        <v>50</v>
      </c>
      <c r="H381" s="25" t="n">
        <v>-2421.24</v>
      </c>
      <c r="I381" s="24"/>
    </row>
    <row r="382" customFormat="false" ht="15" hidden="false" customHeight="false" outlineLevel="0" collapsed="false">
      <c r="A382" s="13" t="s">
        <v>532</v>
      </c>
      <c r="B382" s="14" t="n">
        <v>45889</v>
      </c>
      <c r="C382" s="15" t="s">
        <v>487</v>
      </c>
      <c r="D382" s="15" t="n">
        <v>2025</v>
      </c>
      <c r="E382" s="22" t="s">
        <v>45</v>
      </c>
      <c r="F382" s="13" t="s">
        <v>46</v>
      </c>
      <c r="G382" s="13" t="s">
        <v>79</v>
      </c>
      <c r="H382" s="26" t="n">
        <v>135.49</v>
      </c>
      <c r="I382" s="18"/>
    </row>
    <row r="383" customFormat="false" ht="15" hidden="false" customHeight="false" outlineLevel="0" collapsed="false">
      <c r="A383" s="19" t="s">
        <v>533</v>
      </c>
      <c r="B383" s="20" t="n">
        <v>45889</v>
      </c>
      <c r="C383" s="21" t="s">
        <v>487</v>
      </c>
      <c r="D383" s="21" t="n">
        <v>2025</v>
      </c>
      <c r="E383" s="16" t="s">
        <v>41</v>
      </c>
      <c r="F383" s="19" t="s">
        <v>92</v>
      </c>
      <c r="G383" s="19" t="s">
        <v>93</v>
      </c>
      <c r="H383" s="25" t="n">
        <v>-26.69</v>
      </c>
      <c r="I383" s="24"/>
    </row>
    <row r="384" customFormat="false" ht="15" hidden="false" customHeight="false" outlineLevel="0" collapsed="false">
      <c r="A384" s="13" t="s">
        <v>534</v>
      </c>
      <c r="B384" s="14" t="n">
        <v>45890</v>
      </c>
      <c r="C384" s="15" t="s">
        <v>487</v>
      </c>
      <c r="D384" s="15" t="n">
        <v>2025</v>
      </c>
      <c r="E384" s="22" t="s">
        <v>45</v>
      </c>
      <c r="F384" s="13" t="s">
        <v>46</v>
      </c>
      <c r="G384" s="13" t="s">
        <v>81</v>
      </c>
      <c r="H384" s="26" t="n">
        <v>2148.11</v>
      </c>
      <c r="I384" s="18"/>
    </row>
    <row r="385" customFormat="false" ht="15" hidden="false" customHeight="false" outlineLevel="0" collapsed="false">
      <c r="A385" s="19" t="s">
        <v>535</v>
      </c>
      <c r="B385" s="20" t="n">
        <v>45890</v>
      </c>
      <c r="C385" s="21" t="s">
        <v>487</v>
      </c>
      <c r="D385" s="21" t="n">
        <v>2025</v>
      </c>
      <c r="E385" s="22" t="s">
        <v>45</v>
      </c>
      <c r="F385" s="19" t="s">
        <v>46</v>
      </c>
      <c r="G385" s="19" t="s">
        <v>98</v>
      </c>
      <c r="H385" s="23" t="n">
        <v>175.12</v>
      </c>
      <c r="I385" s="24"/>
    </row>
    <row r="386" customFormat="false" ht="15" hidden="false" customHeight="false" outlineLevel="0" collapsed="false">
      <c r="A386" s="13" t="s">
        <v>536</v>
      </c>
      <c r="B386" s="14" t="n">
        <v>45891</v>
      </c>
      <c r="C386" s="15" t="s">
        <v>487</v>
      </c>
      <c r="D386" s="15" t="n">
        <v>2025</v>
      </c>
      <c r="E386" s="16" t="s">
        <v>41</v>
      </c>
      <c r="F386" s="13" t="s">
        <v>49</v>
      </c>
      <c r="G386" s="13" t="s">
        <v>299</v>
      </c>
      <c r="H386" s="17" t="n">
        <v>-8113.2</v>
      </c>
      <c r="I386" s="18"/>
    </row>
    <row r="387" customFormat="false" ht="15" hidden="false" customHeight="false" outlineLevel="0" collapsed="false">
      <c r="A387" s="19" t="s">
        <v>537</v>
      </c>
      <c r="B387" s="20" t="n">
        <v>45892</v>
      </c>
      <c r="C387" s="21" t="s">
        <v>487</v>
      </c>
      <c r="D387" s="21" t="n">
        <v>2025</v>
      </c>
      <c r="E387" s="22" t="s">
        <v>45</v>
      </c>
      <c r="F387" s="19" t="s">
        <v>46</v>
      </c>
      <c r="G387" s="19" t="s">
        <v>231</v>
      </c>
      <c r="H387" s="25" t="n">
        <v>-5.78</v>
      </c>
      <c r="I387" s="24"/>
    </row>
    <row r="388" customFormat="false" ht="15" hidden="false" customHeight="false" outlineLevel="0" collapsed="false">
      <c r="A388" s="13" t="s">
        <v>538</v>
      </c>
      <c r="B388" s="14" t="n">
        <v>45892</v>
      </c>
      <c r="C388" s="15" t="s">
        <v>487</v>
      </c>
      <c r="D388" s="15" t="n">
        <v>2025</v>
      </c>
      <c r="E388" s="22" t="s">
        <v>45</v>
      </c>
      <c r="F388" s="13" t="s">
        <v>46</v>
      </c>
      <c r="G388" s="13" t="s">
        <v>104</v>
      </c>
      <c r="H388" s="26" t="n">
        <v>34.35</v>
      </c>
      <c r="I388" s="18"/>
    </row>
    <row r="389" customFormat="false" ht="15" hidden="false" customHeight="false" outlineLevel="0" collapsed="false">
      <c r="A389" s="19" t="s">
        <v>539</v>
      </c>
      <c r="B389" s="20" t="n">
        <v>45892</v>
      </c>
      <c r="C389" s="21" t="s">
        <v>487</v>
      </c>
      <c r="D389" s="21" t="n">
        <v>2025</v>
      </c>
      <c r="E389" s="16" t="s">
        <v>41</v>
      </c>
      <c r="F389" s="19" t="s">
        <v>92</v>
      </c>
      <c r="G389" s="19" t="s">
        <v>194</v>
      </c>
      <c r="H389" s="25" t="n">
        <v>-134.82</v>
      </c>
      <c r="I389" s="24"/>
    </row>
    <row r="390" customFormat="false" ht="15" hidden="false" customHeight="false" outlineLevel="0" collapsed="false">
      <c r="A390" s="13" t="s">
        <v>540</v>
      </c>
      <c r="B390" s="14" t="n">
        <v>45894</v>
      </c>
      <c r="C390" s="15" t="s">
        <v>487</v>
      </c>
      <c r="D390" s="15" t="n">
        <v>2025</v>
      </c>
      <c r="E390" s="22" t="s">
        <v>45</v>
      </c>
      <c r="F390" s="13" t="s">
        <v>46</v>
      </c>
      <c r="G390" s="13" t="s">
        <v>77</v>
      </c>
      <c r="H390" s="26" t="n">
        <v>288.75</v>
      </c>
      <c r="I390" s="18"/>
    </row>
    <row r="391" customFormat="false" ht="15" hidden="false" customHeight="false" outlineLevel="0" collapsed="false">
      <c r="A391" s="19" t="s">
        <v>541</v>
      </c>
      <c r="B391" s="20" t="n">
        <v>45894</v>
      </c>
      <c r="C391" s="21" t="s">
        <v>487</v>
      </c>
      <c r="D391" s="21" t="n">
        <v>2025</v>
      </c>
      <c r="E391" s="22" t="s">
        <v>45</v>
      </c>
      <c r="F391" s="19" t="s">
        <v>46</v>
      </c>
      <c r="G391" s="19" t="s">
        <v>81</v>
      </c>
      <c r="H391" s="23" t="n">
        <v>179.41</v>
      </c>
      <c r="I391" s="24"/>
    </row>
    <row r="392" customFormat="false" ht="15" hidden="false" customHeight="false" outlineLevel="0" collapsed="false">
      <c r="A392" s="13" t="s">
        <v>542</v>
      </c>
      <c r="B392" s="14" t="n">
        <v>45894</v>
      </c>
      <c r="C392" s="15" t="s">
        <v>487</v>
      </c>
      <c r="D392" s="15" t="n">
        <v>2025</v>
      </c>
      <c r="E392" s="22" t="s">
        <v>45</v>
      </c>
      <c r="F392" s="13" t="s">
        <v>46</v>
      </c>
      <c r="G392" s="13" t="s">
        <v>47</v>
      </c>
      <c r="H392" s="26" t="n">
        <v>130.75</v>
      </c>
      <c r="I392" s="18"/>
    </row>
    <row r="393" customFormat="false" ht="15" hidden="false" customHeight="false" outlineLevel="0" collapsed="false">
      <c r="A393" s="19" t="s">
        <v>543</v>
      </c>
      <c r="B393" s="20" t="n">
        <v>45894</v>
      </c>
      <c r="C393" s="21" t="s">
        <v>487</v>
      </c>
      <c r="D393" s="21" t="n">
        <v>2025</v>
      </c>
      <c r="E393" s="16" t="s">
        <v>41</v>
      </c>
      <c r="F393" s="19" t="s">
        <v>87</v>
      </c>
      <c r="G393" s="19" t="s">
        <v>88</v>
      </c>
      <c r="H393" s="25" t="n">
        <v>-230.35</v>
      </c>
      <c r="I393" s="24"/>
    </row>
    <row r="394" customFormat="false" ht="15" hidden="false" customHeight="false" outlineLevel="0" collapsed="false">
      <c r="A394" s="13" t="s">
        <v>544</v>
      </c>
      <c r="B394" s="14" t="n">
        <v>45895</v>
      </c>
      <c r="C394" s="15" t="s">
        <v>487</v>
      </c>
      <c r="D394" s="15" t="n">
        <v>2025</v>
      </c>
      <c r="E394" s="22" t="s">
        <v>45</v>
      </c>
      <c r="F394" s="13" t="s">
        <v>46</v>
      </c>
      <c r="G394" s="13" t="s">
        <v>77</v>
      </c>
      <c r="H394" s="26" t="n">
        <v>102.15</v>
      </c>
      <c r="I394" s="18"/>
    </row>
    <row r="395" customFormat="false" ht="15" hidden="false" customHeight="false" outlineLevel="0" collapsed="false">
      <c r="A395" s="19" t="s">
        <v>545</v>
      </c>
      <c r="B395" s="20" t="n">
        <v>45896</v>
      </c>
      <c r="C395" s="21" t="s">
        <v>487</v>
      </c>
      <c r="D395" s="21" t="n">
        <v>2025</v>
      </c>
      <c r="E395" s="22" t="s">
        <v>45</v>
      </c>
      <c r="F395" s="19" t="s">
        <v>46</v>
      </c>
      <c r="G395" s="19" t="s">
        <v>81</v>
      </c>
      <c r="H395" s="23" t="n">
        <v>1278.93</v>
      </c>
      <c r="I395" s="24"/>
    </row>
    <row r="396" customFormat="false" ht="15" hidden="false" customHeight="false" outlineLevel="0" collapsed="false">
      <c r="A396" s="13" t="s">
        <v>546</v>
      </c>
      <c r="B396" s="14" t="n">
        <v>45896</v>
      </c>
      <c r="C396" s="15" t="s">
        <v>487</v>
      </c>
      <c r="D396" s="15" t="n">
        <v>2025</v>
      </c>
      <c r="E396" s="22" t="s">
        <v>45</v>
      </c>
      <c r="F396" s="13" t="s">
        <v>46</v>
      </c>
      <c r="G396" s="13" t="s">
        <v>47</v>
      </c>
      <c r="H396" s="26" t="n">
        <v>362.53</v>
      </c>
      <c r="I396" s="18"/>
    </row>
    <row r="397" customFormat="false" ht="15" hidden="false" customHeight="false" outlineLevel="0" collapsed="false">
      <c r="A397" s="19" t="s">
        <v>547</v>
      </c>
      <c r="B397" s="20" t="n">
        <v>45897</v>
      </c>
      <c r="C397" s="21" t="s">
        <v>487</v>
      </c>
      <c r="D397" s="21" t="n">
        <v>2025</v>
      </c>
      <c r="E397" s="16" t="s">
        <v>41</v>
      </c>
      <c r="F397" s="19" t="s">
        <v>83</v>
      </c>
      <c r="G397" s="19" t="s">
        <v>96</v>
      </c>
      <c r="H397" s="25" t="n">
        <v>-205.85</v>
      </c>
      <c r="I397" s="24"/>
    </row>
    <row r="398" customFormat="false" ht="15" hidden="false" customHeight="false" outlineLevel="0" collapsed="false">
      <c r="A398" s="13" t="s">
        <v>548</v>
      </c>
      <c r="B398" s="14" t="n">
        <v>45901</v>
      </c>
      <c r="C398" s="15" t="s">
        <v>549</v>
      </c>
      <c r="D398" s="15" t="n">
        <v>2025</v>
      </c>
      <c r="E398" s="16" t="s">
        <v>41</v>
      </c>
      <c r="F398" s="13" t="s">
        <v>42</v>
      </c>
      <c r="G398" s="13" t="s">
        <v>550</v>
      </c>
      <c r="H398" s="17" t="n">
        <v>-1470.49</v>
      </c>
      <c r="I398" s="18"/>
    </row>
    <row r="399" customFormat="false" ht="15" hidden="false" customHeight="false" outlineLevel="0" collapsed="false">
      <c r="A399" s="19" t="s">
        <v>551</v>
      </c>
      <c r="B399" s="20" t="n">
        <v>45901</v>
      </c>
      <c r="C399" s="21" t="s">
        <v>549</v>
      </c>
      <c r="D399" s="21" t="n">
        <v>2025</v>
      </c>
      <c r="E399" s="16" t="s">
        <v>41</v>
      </c>
      <c r="F399" s="19" t="s">
        <v>64</v>
      </c>
      <c r="G399" s="19" t="s">
        <v>552</v>
      </c>
      <c r="H399" s="25" t="n">
        <v>-121.12</v>
      </c>
      <c r="I399" s="24"/>
    </row>
    <row r="400" customFormat="false" ht="15" hidden="false" customHeight="false" outlineLevel="0" collapsed="false">
      <c r="A400" s="13" t="s">
        <v>553</v>
      </c>
      <c r="B400" s="14" t="n">
        <v>45902</v>
      </c>
      <c r="C400" s="15" t="s">
        <v>549</v>
      </c>
      <c r="D400" s="15" t="n">
        <v>2025</v>
      </c>
      <c r="E400" s="22" t="s">
        <v>45</v>
      </c>
      <c r="F400" s="13" t="s">
        <v>46</v>
      </c>
      <c r="G400" s="13" t="s">
        <v>98</v>
      </c>
      <c r="H400" s="26" t="n">
        <v>3086.41</v>
      </c>
      <c r="I400" s="18"/>
    </row>
    <row r="401" customFormat="false" ht="15" hidden="false" customHeight="false" outlineLevel="0" collapsed="false">
      <c r="A401" s="19" t="s">
        <v>554</v>
      </c>
      <c r="B401" s="20" t="n">
        <v>45902</v>
      </c>
      <c r="C401" s="21" t="s">
        <v>549</v>
      </c>
      <c r="D401" s="21" t="n">
        <v>2025</v>
      </c>
      <c r="E401" s="22" t="s">
        <v>45</v>
      </c>
      <c r="F401" s="19" t="s">
        <v>46</v>
      </c>
      <c r="G401" s="19" t="s">
        <v>56</v>
      </c>
      <c r="H401" s="23" t="n">
        <v>1143.4</v>
      </c>
      <c r="I401" s="24"/>
    </row>
    <row r="402" customFormat="false" ht="15" hidden="false" customHeight="false" outlineLevel="0" collapsed="false">
      <c r="A402" s="13" t="s">
        <v>555</v>
      </c>
      <c r="B402" s="14" t="n">
        <v>45903</v>
      </c>
      <c r="C402" s="15" t="s">
        <v>549</v>
      </c>
      <c r="D402" s="15" t="n">
        <v>2025</v>
      </c>
      <c r="E402" s="22" t="s">
        <v>45</v>
      </c>
      <c r="F402" s="13" t="s">
        <v>46</v>
      </c>
      <c r="G402" s="13" t="s">
        <v>98</v>
      </c>
      <c r="H402" s="26" t="n">
        <v>241.31</v>
      </c>
      <c r="I402" s="18"/>
    </row>
    <row r="403" customFormat="false" ht="15" hidden="false" customHeight="false" outlineLevel="0" collapsed="false">
      <c r="A403" s="19" t="s">
        <v>556</v>
      </c>
      <c r="B403" s="20" t="n">
        <v>45903</v>
      </c>
      <c r="C403" s="21" t="s">
        <v>549</v>
      </c>
      <c r="D403" s="21" t="n">
        <v>2025</v>
      </c>
      <c r="E403" s="16" t="s">
        <v>41</v>
      </c>
      <c r="F403" s="19" t="s">
        <v>61</v>
      </c>
      <c r="G403" s="19" t="s">
        <v>557</v>
      </c>
      <c r="H403" s="25" t="n">
        <v>-78.51</v>
      </c>
      <c r="I403" s="24"/>
    </row>
    <row r="404" customFormat="false" ht="15" hidden="false" customHeight="false" outlineLevel="0" collapsed="false">
      <c r="A404" s="13" t="s">
        <v>558</v>
      </c>
      <c r="B404" s="14" t="n">
        <v>45903</v>
      </c>
      <c r="C404" s="15" t="s">
        <v>549</v>
      </c>
      <c r="D404" s="15" t="n">
        <v>2025</v>
      </c>
      <c r="E404" s="16" t="s">
        <v>41</v>
      </c>
      <c r="F404" s="13" t="s">
        <v>53</v>
      </c>
      <c r="G404" s="13" t="s">
        <v>559</v>
      </c>
      <c r="H404" s="17" t="n">
        <v>-150.19</v>
      </c>
      <c r="I404" s="18"/>
    </row>
    <row r="405" customFormat="false" ht="15" hidden="false" customHeight="false" outlineLevel="0" collapsed="false">
      <c r="A405" s="19" t="s">
        <v>560</v>
      </c>
      <c r="B405" s="20" t="n">
        <v>45904</v>
      </c>
      <c r="C405" s="21" t="s">
        <v>549</v>
      </c>
      <c r="D405" s="21" t="n">
        <v>2025</v>
      </c>
      <c r="E405" s="22" t="s">
        <v>45</v>
      </c>
      <c r="F405" s="19" t="s">
        <v>46</v>
      </c>
      <c r="G405" s="19" t="s">
        <v>70</v>
      </c>
      <c r="H405" s="23" t="n">
        <v>865.46</v>
      </c>
      <c r="I405" s="24"/>
    </row>
    <row r="406" customFormat="false" ht="15" hidden="false" customHeight="false" outlineLevel="0" collapsed="false">
      <c r="A406" s="13" t="s">
        <v>561</v>
      </c>
      <c r="B406" s="14" t="n">
        <v>45904</v>
      </c>
      <c r="C406" s="15" t="s">
        <v>549</v>
      </c>
      <c r="D406" s="15" t="n">
        <v>2025</v>
      </c>
      <c r="E406" s="22" t="s">
        <v>45</v>
      </c>
      <c r="F406" s="13" t="s">
        <v>46</v>
      </c>
      <c r="G406" s="13" t="s">
        <v>72</v>
      </c>
      <c r="H406" s="17" t="n">
        <v>-181.88</v>
      </c>
      <c r="I406" s="18"/>
    </row>
    <row r="407" customFormat="false" ht="15" hidden="false" customHeight="false" outlineLevel="0" collapsed="false">
      <c r="A407" s="19" t="s">
        <v>562</v>
      </c>
      <c r="B407" s="20" t="n">
        <v>45904</v>
      </c>
      <c r="C407" s="21" t="s">
        <v>549</v>
      </c>
      <c r="D407" s="21" t="n">
        <v>2025</v>
      </c>
      <c r="E407" s="16" t="s">
        <v>41</v>
      </c>
      <c r="F407" s="19" t="s">
        <v>58</v>
      </c>
      <c r="G407" s="19" t="s">
        <v>563</v>
      </c>
      <c r="H407" s="25" t="n">
        <v>-2236.13</v>
      </c>
      <c r="I407" s="24"/>
    </row>
    <row r="408" customFormat="false" ht="15" hidden="false" customHeight="false" outlineLevel="0" collapsed="false">
      <c r="A408" s="13" t="s">
        <v>564</v>
      </c>
      <c r="B408" s="14" t="n">
        <v>45905</v>
      </c>
      <c r="C408" s="15" t="s">
        <v>549</v>
      </c>
      <c r="D408" s="15" t="n">
        <v>2025</v>
      </c>
      <c r="E408" s="22" t="s">
        <v>45</v>
      </c>
      <c r="F408" s="13" t="s">
        <v>46</v>
      </c>
      <c r="G408" s="13" t="s">
        <v>72</v>
      </c>
      <c r="H408" s="26" t="n">
        <v>377.58</v>
      </c>
      <c r="I408" s="18"/>
    </row>
    <row r="409" customFormat="false" ht="15" hidden="false" customHeight="false" outlineLevel="0" collapsed="false">
      <c r="A409" s="19" t="s">
        <v>565</v>
      </c>
      <c r="B409" s="20" t="n">
        <v>45905</v>
      </c>
      <c r="C409" s="21" t="s">
        <v>549</v>
      </c>
      <c r="D409" s="21" t="n">
        <v>2025</v>
      </c>
      <c r="E409" s="16" t="s">
        <v>41</v>
      </c>
      <c r="F409" s="19" t="s">
        <v>87</v>
      </c>
      <c r="G409" s="19" t="s">
        <v>130</v>
      </c>
      <c r="H409" s="25" t="n">
        <v>-258.09</v>
      </c>
      <c r="I409" s="24"/>
    </row>
    <row r="410" customFormat="false" ht="15" hidden="false" customHeight="false" outlineLevel="0" collapsed="false">
      <c r="A410" s="13" t="s">
        <v>566</v>
      </c>
      <c r="B410" s="14" t="n">
        <v>45906</v>
      </c>
      <c r="C410" s="15" t="s">
        <v>549</v>
      </c>
      <c r="D410" s="15" t="n">
        <v>2025</v>
      </c>
      <c r="E410" s="22" t="s">
        <v>45</v>
      </c>
      <c r="F410" s="13" t="s">
        <v>46</v>
      </c>
      <c r="G410" s="13" t="s">
        <v>70</v>
      </c>
      <c r="H410" s="26" t="n">
        <v>102.54</v>
      </c>
      <c r="I410" s="18"/>
    </row>
    <row r="411" customFormat="false" ht="15" hidden="false" customHeight="false" outlineLevel="0" collapsed="false">
      <c r="A411" s="19" t="s">
        <v>567</v>
      </c>
      <c r="B411" s="20" t="n">
        <v>45907</v>
      </c>
      <c r="C411" s="21" t="s">
        <v>549</v>
      </c>
      <c r="D411" s="21" t="n">
        <v>2025</v>
      </c>
      <c r="E411" s="16" t="s">
        <v>41</v>
      </c>
      <c r="F411" s="19" t="s">
        <v>83</v>
      </c>
      <c r="G411" s="19" t="s">
        <v>84</v>
      </c>
      <c r="H411" s="25" t="n">
        <v>-542.72</v>
      </c>
      <c r="I411" s="24"/>
    </row>
    <row r="412" customFormat="false" ht="15" hidden="false" customHeight="false" outlineLevel="0" collapsed="false">
      <c r="A412" s="13" t="s">
        <v>568</v>
      </c>
      <c r="B412" s="14" t="n">
        <v>45908</v>
      </c>
      <c r="C412" s="15" t="s">
        <v>549</v>
      </c>
      <c r="D412" s="15" t="n">
        <v>2025</v>
      </c>
      <c r="E412" s="16" t="s">
        <v>41</v>
      </c>
      <c r="F412" s="13" t="s">
        <v>83</v>
      </c>
      <c r="G412" s="13" t="s">
        <v>126</v>
      </c>
      <c r="H412" s="17" t="n">
        <v>-207.71</v>
      </c>
      <c r="I412" s="18"/>
    </row>
    <row r="413" customFormat="false" ht="15" hidden="false" customHeight="false" outlineLevel="0" collapsed="false">
      <c r="A413" s="19" t="s">
        <v>569</v>
      </c>
      <c r="B413" s="20" t="n">
        <v>45909</v>
      </c>
      <c r="C413" s="21" t="s">
        <v>549</v>
      </c>
      <c r="D413" s="21" t="n">
        <v>2025</v>
      </c>
      <c r="E413" s="16" t="s">
        <v>41</v>
      </c>
      <c r="F413" s="19" t="s">
        <v>49</v>
      </c>
      <c r="G413" s="19" t="s">
        <v>328</v>
      </c>
      <c r="H413" s="25" t="n">
        <v>-8103.31</v>
      </c>
      <c r="I413" s="24"/>
    </row>
    <row r="414" customFormat="false" ht="15" hidden="false" customHeight="false" outlineLevel="0" collapsed="false">
      <c r="A414" s="13" t="s">
        <v>570</v>
      </c>
      <c r="B414" s="14" t="n">
        <v>45910</v>
      </c>
      <c r="C414" s="15" t="s">
        <v>549</v>
      </c>
      <c r="D414" s="15" t="n">
        <v>2025</v>
      </c>
      <c r="E414" s="22" t="s">
        <v>45</v>
      </c>
      <c r="F414" s="13" t="s">
        <v>46</v>
      </c>
      <c r="G414" s="13" t="s">
        <v>56</v>
      </c>
      <c r="H414" s="26" t="n">
        <v>758.28</v>
      </c>
      <c r="I414" s="18"/>
    </row>
    <row r="415" customFormat="false" ht="15" hidden="false" customHeight="false" outlineLevel="0" collapsed="false">
      <c r="A415" s="19" t="s">
        <v>571</v>
      </c>
      <c r="B415" s="20" t="n">
        <v>45910</v>
      </c>
      <c r="C415" s="21" t="s">
        <v>549</v>
      </c>
      <c r="D415" s="21" t="n">
        <v>2025</v>
      </c>
      <c r="E415" s="22" t="s">
        <v>45</v>
      </c>
      <c r="F415" s="19" t="s">
        <v>46</v>
      </c>
      <c r="G415" s="19" t="s">
        <v>72</v>
      </c>
      <c r="H415" s="23" t="n">
        <v>84.66</v>
      </c>
      <c r="I415" s="24"/>
    </row>
    <row r="416" customFormat="false" ht="15" hidden="false" customHeight="false" outlineLevel="0" collapsed="false">
      <c r="A416" s="13" t="s">
        <v>572</v>
      </c>
      <c r="B416" s="14" t="n">
        <v>45911</v>
      </c>
      <c r="C416" s="15" t="s">
        <v>549</v>
      </c>
      <c r="D416" s="15" t="n">
        <v>2025</v>
      </c>
      <c r="E416" s="22" t="s">
        <v>45</v>
      </c>
      <c r="F416" s="13" t="s">
        <v>46</v>
      </c>
      <c r="G416" s="13" t="s">
        <v>81</v>
      </c>
      <c r="H416" s="26" t="n">
        <v>1644.83</v>
      </c>
      <c r="I416" s="18"/>
    </row>
    <row r="417" customFormat="false" ht="15" hidden="false" customHeight="false" outlineLevel="0" collapsed="false">
      <c r="A417" s="19" t="s">
        <v>573</v>
      </c>
      <c r="B417" s="20" t="n">
        <v>45912</v>
      </c>
      <c r="C417" s="21" t="s">
        <v>549</v>
      </c>
      <c r="D417" s="21" t="n">
        <v>2025</v>
      </c>
      <c r="E417" s="22" t="s">
        <v>45</v>
      </c>
      <c r="F417" s="19" t="s">
        <v>46</v>
      </c>
      <c r="G417" s="19" t="s">
        <v>98</v>
      </c>
      <c r="H417" s="23" t="n">
        <v>122.88</v>
      </c>
      <c r="I417" s="24"/>
    </row>
    <row r="418" customFormat="false" ht="15" hidden="false" customHeight="false" outlineLevel="0" collapsed="false">
      <c r="A418" s="13" t="s">
        <v>574</v>
      </c>
      <c r="B418" s="14" t="n">
        <v>45912</v>
      </c>
      <c r="C418" s="15" t="s">
        <v>549</v>
      </c>
      <c r="D418" s="15" t="n">
        <v>2025</v>
      </c>
      <c r="E418" s="16" t="s">
        <v>41</v>
      </c>
      <c r="F418" s="13" t="s">
        <v>67</v>
      </c>
      <c r="G418" s="13" t="s">
        <v>122</v>
      </c>
      <c r="H418" s="17" t="n">
        <v>-165.65</v>
      </c>
      <c r="I418" s="18"/>
    </row>
    <row r="419" customFormat="false" ht="15" hidden="false" customHeight="false" outlineLevel="0" collapsed="false">
      <c r="A419" s="19" t="s">
        <v>575</v>
      </c>
      <c r="B419" s="20" t="n">
        <v>45913</v>
      </c>
      <c r="C419" s="21" t="s">
        <v>549</v>
      </c>
      <c r="D419" s="21" t="n">
        <v>2025</v>
      </c>
      <c r="E419" s="16" t="s">
        <v>41</v>
      </c>
      <c r="F419" s="19" t="s">
        <v>49</v>
      </c>
      <c r="G419" s="19" t="s">
        <v>299</v>
      </c>
      <c r="H419" s="25" t="n">
        <v>-4231.36</v>
      </c>
      <c r="I419" s="24"/>
    </row>
    <row r="420" customFormat="false" ht="15" hidden="false" customHeight="false" outlineLevel="0" collapsed="false">
      <c r="A420" s="13" t="s">
        <v>576</v>
      </c>
      <c r="B420" s="14" t="n">
        <v>45914</v>
      </c>
      <c r="C420" s="15" t="s">
        <v>549</v>
      </c>
      <c r="D420" s="15" t="n">
        <v>2025</v>
      </c>
      <c r="E420" s="22" t="s">
        <v>45</v>
      </c>
      <c r="F420" s="13" t="s">
        <v>46</v>
      </c>
      <c r="G420" s="13" t="s">
        <v>104</v>
      </c>
      <c r="H420" s="26" t="n">
        <v>136.74</v>
      </c>
      <c r="I420" s="18"/>
    </row>
    <row r="421" customFormat="false" ht="15" hidden="false" customHeight="false" outlineLevel="0" collapsed="false">
      <c r="A421" s="19" t="s">
        <v>577</v>
      </c>
      <c r="B421" s="20" t="n">
        <v>45915</v>
      </c>
      <c r="C421" s="21" t="s">
        <v>549</v>
      </c>
      <c r="D421" s="21" t="n">
        <v>2025</v>
      </c>
      <c r="E421" s="22" t="s">
        <v>45</v>
      </c>
      <c r="F421" s="19" t="s">
        <v>46</v>
      </c>
      <c r="G421" s="19" t="s">
        <v>104</v>
      </c>
      <c r="H421" s="23" t="n">
        <v>96.82</v>
      </c>
      <c r="I421" s="24"/>
    </row>
    <row r="422" customFormat="false" ht="15" hidden="false" customHeight="false" outlineLevel="0" collapsed="false">
      <c r="A422" s="13" t="s">
        <v>578</v>
      </c>
      <c r="B422" s="14" t="n">
        <v>45915</v>
      </c>
      <c r="C422" s="15" t="s">
        <v>549</v>
      </c>
      <c r="D422" s="15" t="n">
        <v>2025</v>
      </c>
      <c r="E422" s="16" t="s">
        <v>41</v>
      </c>
      <c r="F422" s="13" t="s">
        <v>107</v>
      </c>
      <c r="G422" s="13" t="s">
        <v>579</v>
      </c>
      <c r="H422" s="17" t="n">
        <v>-86.23</v>
      </c>
      <c r="I422" s="18"/>
    </row>
    <row r="423" customFormat="false" ht="15" hidden="false" customHeight="false" outlineLevel="0" collapsed="false">
      <c r="A423" s="19" t="s">
        <v>580</v>
      </c>
      <c r="B423" s="20" t="n">
        <v>45916</v>
      </c>
      <c r="C423" s="21" t="s">
        <v>549</v>
      </c>
      <c r="D423" s="21" t="n">
        <v>2025</v>
      </c>
      <c r="E423" s="16" t="s">
        <v>41</v>
      </c>
      <c r="F423" s="19" t="s">
        <v>92</v>
      </c>
      <c r="G423" s="19" t="s">
        <v>134</v>
      </c>
      <c r="H423" s="25" t="n">
        <v>-33.25</v>
      </c>
      <c r="I423" s="24"/>
    </row>
    <row r="424" customFormat="false" ht="15" hidden="false" customHeight="false" outlineLevel="0" collapsed="false">
      <c r="A424" s="13" t="s">
        <v>581</v>
      </c>
      <c r="B424" s="14" t="n">
        <v>45918</v>
      </c>
      <c r="C424" s="15" t="s">
        <v>549</v>
      </c>
      <c r="D424" s="15" t="n">
        <v>2025</v>
      </c>
      <c r="E424" s="16" t="s">
        <v>41</v>
      </c>
      <c r="F424" s="13" t="s">
        <v>67</v>
      </c>
      <c r="G424" s="13" t="s">
        <v>68</v>
      </c>
      <c r="H424" s="17" t="n">
        <v>-58.44</v>
      </c>
      <c r="I424" s="18"/>
    </row>
    <row r="425" customFormat="false" ht="15" hidden="false" customHeight="false" outlineLevel="0" collapsed="false">
      <c r="A425" s="19" t="s">
        <v>582</v>
      </c>
      <c r="B425" s="20" t="n">
        <v>45919</v>
      </c>
      <c r="C425" s="21" t="s">
        <v>549</v>
      </c>
      <c r="D425" s="21" t="n">
        <v>2025</v>
      </c>
      <c r="E425" s="22" t="s">
        <v>45</v>
      </c>
      <c r="F425" s="19" t="s">
        <v>46</v>
      </c>
      <c r="G425" s="19" t="s">
        <v>231</v>
      </c>
      <c r="H425" s="23" t="n">
        <v>391.47</v>
      </c>
      <c r="I425" s="24"/>
    </row>
    <row r="426" customFormat="false" ht="15" hidden="false" customHeight="false" outlineLevel="0" collapsed="false">
      <c r="A426" s="13" t="s">
        <v>583</v>
      </c>
      <c r="B426" s="14" t="n">
        <v>45919</v>
      </c>
      <c r="C426" s="15" t="s">
        <v>549</v>
      </c>
      <c r="D426" s="15" t="n">
        <v>2025</v>
      </c>
      <c r="E426" s="22" t="s">
        <v>45</v>
      </c>
      <c r="F426" s="13" t="s">
        <v>46</v>
      </c>
      <c r="G426" s="13" t="s">
        <v>231</v>
      </c>
      <c r="H426" s="26" t="n">
        <v>232.87</v>
      </c>
      <c r="I426" s="18"/>
    </row>
    <row r="427" customFormat="false" ht="15" hidden="false" customHeight="false" outlineLevel="0" collapsed="false">
      <c r="A427" s="19" t="s">
        <v>584</v>
      </c>
      <c r="B427" s="20" t="n">
        <v>45920</v>
      </c>
      <c r="C427" s="21" t="s">
        <v>549</v>
      </c>
      <c r="D427" s="21" t="n">
        <v>2025</v>
      </c>
      <c r="E427" s="22" t="s">
        <v>45</v>
      </c>
      <c r="F427" s="19" t="s">
        <v>46</v>
      </c>
      <c r="G427" s="19" t="s">
        <v>72</v>
      </c>
      <c r="H427" s="23" t="n">
        <v>348.6</v>
      </c>
      <c r="I427" s="24"/>
    </row>
    <row r="428" customFormat="false" ht="15" hidden="false" customHeight="false" outlineLevel="0" collapsed="false">
      <c r="A428" s="13" t="s">
        <v>585</v>
      </c>
      <c r="B428" s="14" t="n">
        <v>45921</v>
      </c>
      <c r="C428" s="15" t="s">
        <v>549</v>
      </c>
      <c r="D428" s="15" t="n">
        <v>2025</v>
      </c>
      <c r="E428" s="22" t="s">
        <v>45</v>
      </c>
      <c r="F428" s="13" t="s">
        <v>46</v>
      </c>
      <c r="G428" s="13" t="s">
        <v>104</v>
      </c>
      <c r="H428" s="26" t="n">
        <v>363.03</v>
      </c>
      <c r="I428" s="18"/>
    </row>
    <row r="429" customFormat="false" ht="15" hidden="false" customHeight="false" outlineLevel="0" collapsed="false">
      <c r="A429" s="19" t="s">
        <v>586</v>
      </c>
      <c r="B429" s="20" t="n">
        <v>45921</v>
      </c>
      <c r="C429" s="21" t="s">
        <v>549</v>
      </c>
      <c r="D429" s="21" t="n">
        <v>2025</v>
      </c>
      <c r="E429" s="22" t="s">
        <v>45</v>
      </c>
      <c r="F429" s="19" t="s">
        <v>46</v>
      </c>
      <c r="G429" s="19" t="s">
        <v>104</v>
      </c>
      <c r="H429" s="23" t="n">
        <v>199.12</v>
      </c>
      <c r="I429" s="24"/>
    </row>
    <row r="430" customFormat="false" ht="15" hidden="false" customHeight="false" outlineLevel="0" collapsed="false">
      <c r="A430" s="13" t="s">
        <v>587</v>
      </c>
      <c r="B430" s="14" t="n">
        <v>45921</v>
      </c>
      <c r="C430" s="15" t="s">
        <v>549</v>
      </c>
      <c r="D430" s="15" t="n">
        <v>2025</v>
      </c>
      <c r="E430" s="16" t="s">
        <v>41</v>
      </c>
      <c r="F430" s="13" t="s">
        <v>83</v>
      </c>
      <c r="G430" s="13" t="s">
        <v>96</v>
      </c>
      <c r="H430" s="17" t="n">
        <v>-129.14</v>
      </c>
      <c r="I430" s="18"/>
    </row>
    <row r="431" customFormat="false" ht="15" hidden="false" customHeight="false" outlineLevel="0" collapsed="false">
      <c r="A431" s="19" t="s">
        <v>588</v>
      </c>
      <c r="B431" s="20" t="n">
        <v>45921</v>
      </c>
      <c r="C431" s="21" t="s">
        <v>549</v>
      </c>
      <c r="D431" s="21" t="n">
        <v>2025</v>
      </c>
      <c r="E431" s="16" t="s">
        <v>41</v>
      </c>
      <c r="F431" s="19" t="s">
        <v>87</v>
      </c>
      <c r="G431" s="19" t="s">
        <v>113</v>
      </c>
      <c r="H431" s="25" t="n">
        <v>-670.04</v>
      </c>
      <c r="I431" s="24"/>
    </row>
    <row r="432" customFormat="false" ht="15" hidden="false" customHeight="false" outlineLevel="0" collapsed="false">
      <c r="A432" s="13" t="s">
        <v>589</v>
      </c>
      <c r="B432" s="14" t="n">
        <v>45921</v>
      </c>
      <c r="C432" s="15" t="s">
        <v>549</v>
      </c>
      <c r="D432" s="15" t="n">
        <v>2025</v>
      </c>
      <c r="E432" s="16" t="s">
        <v>41</v>
      </c>
      <c r="F432" s="13" t="s">
        <v>74</v>
      </c>
      <c r="G432" s="13" t="s">
        <v>590</v>
      </c>
      <c r="H432" s="17" t="n">
        <v>-326.53</v>
      </c>
      <c r="I432" s="18"/>
    </row>
    <row r="433" customFormat="false" ht="15" hidden="false" customHeight="false" outlineLevel="0" collapsed="false">
      <c r="A433" s="19" t="s">
        <v>591</v>
      </c>
      <c r="B433" s="20" t="n">
        <v>45922</v>
      </c>
      <c r="C433" s="21" t="s">
        <v>549</v>
      </c>
      <c r="D433" s="21" t="n">
        <v>2025</v>
      </c>
      <c r="E433" s="22" t="s">
        <v>45</v>
      </c>
      <c r="F433" s="19" t="s">
        <v>46</v>
      </c>
      <c r="G433" s="19" t="s">
        <v>47</v>
      </c>
      <c r="H433" s="23" t="n">
        <v>170.8</v>
      </c>
      <c r="I433" s="24"/>
    </row>
    <row r="434" customFormat="false" ht="15" hidden="false" customHeight="false" outlineLevel="0" collapsed="false">
      <c r="A434" s="13" t="s">
        <v>592</v>
      </c>
      <c r="B434" s="14" t="n">
        <v>45922</v>
      </c>
      <c r="C434" s="15" t="s">
        <v>549</v>
      </c>
      <c r="D434" s="15" t="n">
        <v>2025</v>
      </c>
      <c r="E434" s="16" t="s">
        <v>41</v>
      </c>
      <c r="F434" s="13" t="s">
        <v>49</v>
      </c>
      <c r="G434" s="13" t="s">
        <v>50</v>
      </c>
      <c r="H434" s="17" t="n">
        <v>-3165.77</v>
      </c>
      <c r="I434" s="18"/>
    </row>
    <row r="435" customFormat="false" ht="15" hidden="false" customHeight="false" outlineLevel="0" collapsed="false">
      <c r="A435" s="19" t="s">
        <v>593</v>
      </c>
      <c r="B435" s="20" t="n">
        <v>45923</v>
      </c>
      <c r="C435" s="21" t="s">
        <v>549</v>
      </c>
      <c r="D435" s="21" t="n">
        <v>2025</v>
      </c>
      <c r="E435" s="22" t="s">
        <v>45</v>
      </c>
      <c r="F435" s="19" t="s">
        <v>46</v>
      </c>
      <c r="G435" s="19" t="s">
        <v>104</v>
      </c>
      <c r="H435" s="23" t="n">
        <v>765.15</v>
      </c>
      <c r="I435" s="24"/>
    </row>
    <row r="436" customFormat="false" ht="15" hidden="false" customHeight="false" outlineLevel="0" collapsed="false">
      <c r="A436" s="13" t="s">
        <v>594</v>
      </c>
      <c r="B436" s="14" t="n">
        <v>45924</v>
      </c>
      <c r="C436" s="15" t="s">
        <v>549</v>
      </c>
      <c r="D436" s="15" t="n">
        <v>2025</v>
      </c>
      <c r="E436" s="22" t="s">
        <v>45</v>
      </c>
      <c r="F436" s="13" t="s">
        <v>46</v>
      </c>
      <c r="G436" s="13" t="s">
        <v>70</v>
      </c>
      <c r="H436" s="26" t="n">
        <v>2467.97</v>
      </c>
      <c r="I436" s="18"/>
    </row>
    <row r="437" customFormat="false" ht="15" hidden="false" customHeight="false" outlineLevel="0" collapsed="false">
      <c r="A437" s="19" t="s">
        <v>595</v>
      </c>
      <c r="B437" s="20" t="n">
        <v>45926</v>
      </c>
      <c r="C437" s="21" t="s">
        <v>549</v>
      </c>
      <c r="D437" s="21" t="n">
        <v>2025</v>
      </c>
      <c r="E437" s="16" t="s">
        <v>41</v>
      </c>
      <c r="F437" s="19" t="s">
        <v>67</v>
      </c>
      <c r="G437" s="19" t="s">
        <v>132</v>
      </c>
      <c r="H437" s="25" t="n">
        <v>-53.64</v>
      </c>
      <c r="I437" s="24"/>
    </row>
    <row r="438" customFormat="false" ht="15" hidden="false" customHeight="false" outlineLevel="0" collapsed="false">
      <c r="A438" s="13" t="s">
        <v>596</v>
      </c>
      <c r="B438" s="14" t="n">
        <v>45926</v>
      </c>
      <c r="C438" s="15" t="s">
        <v>549</v>
      </c>
      <c r="D438" s="15" t="n">
        <v>2025</v>
      </c>
      <c r="E438" s="16" t="s">
        <v>41</v>
      </c>
      <c r="F438" s="13" t="s">
        <v>92</v>
      </c>
      <c r="G438" s="13" t="s">
        <v>136</v>
      </c>
      <c r="H438" s="17" t="n">
        <v>-136.64</v>
      </c>
      <c r="I438" s="18"/>
    </row>
    <row r="439" customFormat="false" ht="15" hidden="false" customHeight="false" outlineLevel="0" collapsed="false">
      <c r="A439" s="19" t="s">
        <v>597</v>
      </c>
      <c r="B439" s="20" t="n">
        <v>45927</v>
      </c>
      <c r="C439" s="21" t="s">
        <v>549</v>
      </c>
      <c r="D439" s="21" t="n">
        <v>2025</v>
      </c>
      <c r="E439" s="16" t="s">
        <v>41</v>
      </c>
      <c r="F439" s="19" t="s">
        <v>49</v>
      </c>
      <c r="G439" s="19" t="s">
        <v>139</v>
      </c>
      <c r="H439" s="25" t="n">
        <v>-3158.4</v>
      </c>
      <c r="I439" s="24"/>
    </row>
    <row r="440" customFormat="false" ht="15" hidden="false" customHeight="false" outlineLevel="0" collapsed="false">
      <c r="A440" s="13" t="s">
        <v>598</v>
      </c>
      <c r="B440" s="14" t="n">
        <v>45927</v>
      </c>
      <c r="C440" s="15" t="s">
        <v>549</v>
      </c>
      <c r="D440" s="15" t="n">
        <v>2025</v>
      </c>
      <c r="E440" s="16" t="s">
        <v>41</v>
      </c>
      <c r="F440" s="13" t="s">
        <v>87</v>
      </c>
      <c r="G440" s="13" t="s">
        <v>88</v>
      </c>
      <c r="H440" s="17" t="n">
        <v>-250.06</v>
      </c>
      <c r="I440" s="18"/>
    </row>
    <row r="441" customFormat="false" ht="15" hidden="false" customHeight="false" outlineLevel="0" collapsed="false">
      <c r="A441" s="19" t="s">
        <v>599</v>
      </c>
      <c r="B441" s="20" t="n">
        <v>45928</v>
      </c>
      <c r="C441" s="21" t="s">
        <v>549</v>
      </c>
      <c r="D441" s="21" t="n">
        <v>2025</v>
      </c>
      <c r="E441" s="22" t="s">
        <v>45</v>
      </c>
      <c r="F441" s="19" t="s">
        <v>46</v>
      </c>
      <c r="G441" s="19" t="s">
        <v>56</v>
      </c>
      <c r="H441" s="23" t="n">
        <v>4436.93</v>
      </c>
      <c r="I441" s="24"/>
    </row>
    <row r="442" customFormat="false" ht="15" hidden="false" customHeight="false" outlineLevel="0" collapsed="false">
      <c r="A442" s="13" t="s">
        <v>600</v>
      </c>
      <c r="B442" s="14" t="n">
        <v>45928</v>
      </c>
      <c r="C442" s="15" t="s">
        <v>549</v>
      </c>
      <c r="D442" s="15" t="n">
        <v>2025</v>
      </c>
      <c r="E442" s="22" t="s">
        <v>45</v>
      </c>
      <c r="F442" s="13" t="s">
        <v>46</v>
      </c>
      <c r="G442" s="13" t="s">
        <v>79</v>
      </c>
      <c r="H442" s="26" t="n">
        <v>4622.73</v>
      </c>
      <c r="I442" s="18"/>
    </row>
    <row r="443" customFormat="false" ht="15" hidden="false" customHeight="false" outlineLevel="0" collapsed="false">
      <c r="A443" s="19" t="s">
        <v>601</v>
      </c>
      <c r="B443" s="20" t="n">
        <v>45928</v>
      </c>
      <c r="C443" s="21" t="s">
        <v>549</v>
      </c>
      <c r="D443" s="21" t="n">
        <v>2025</v>
      </c>
      <c r="E443" s="22" t="s">
        <v>45</v>
      </c>
      <c r="F443" s="19" t="s">
        <v>46</v>
      </c>
      <c r="G443" s="19" t="s">
        <v>81</v>
      </c>
      <c r="H443" s="25" t="n">
        <v>-77.7</v>
      </c>
      <c r="I443" s="24"/>
    </row>
    <row r="444" customFormat="false" ht="15" hidden="false" customHeight="false" outlineLevel="0" collapsed="false">
      <c r="A444" s="13" t="s">
        <v>602</v>
      </c>
      <c r="B444" s="14" t="n">
        <v>45931</v>
      </c>
      <c r="C444" s="15" t="s">
        <v>603</v>
      </c>
      <c r="D444" s="15" t="n">
        <v>2025</v>
      </c>
      <c r="E444" s="16" t="s">
        <v>41</v>
      </c>
      <c r="F444" s="13" t="s">
        <v>92</v>
      </c>
      <c r="G444" s="13" t="s">
        <v>136</v>
      </c>
      <c r="H444" s="17" t="n">
        <v>-27.96</v>
      </c>
      <c r="I444" s="18"/>
    </row>
    <row r="445" customFormat="false" ht="15" hidden="false" customHeight="false" outlineLevel="0" collapsed="false">
      <c r="A445" s="19" t="s">
        <v>604</v>
      </c>
      <c r="B445" s="20" t="n">
        <v>45932</v>
      </c>
      <c r="C445" s="21" t="s">
        <v>603</v>
      </c>
      <c r="D445" s="21" t="n">
        <v>2025</v>
      </c>
      <c r="E445" s="22" t="s">
        <v>45</v>
      </c>
      <c r="F445" s="19" t="s">
        <v>46</v>
      </c>
      <c r="G445" s="19" t="s">
        <v>104</v>
      </c>
      <c r="H445" s="23" t="n">
        <v>218.8</v>
      </c>
      <c r="I445" s="24"/>
    </row>
    <row r="446" customFormat="false" ht="15" hidden="false" customHeight="false" outlineLevel="0" collapsed="false">
      <c r="A446" s="13" t="s">
        <v>605</v>
      </c>
      <c r="B446" s="14" t="n">
        <v>45932</v>
      </c>
      <c r="C446" s="15" t="s">
        <v>603</v>
      </c>
      <c r="D446" s="15" t="n">
        <v>2025</v>
      </c>
      <c r="E446" s="16" t="s">
        <v>41</v>
      </c>
      <c r="F446" s="13" t="s">
        <v>74</v>
      </c>
      <c r="G446" s="13" t="s">
        <v>101</v>
      </c>
      <c r="H446" s="17" t="n">
        <v>-63.7</v>
      </c>
      <c r="I446" s="18"/>
    </row>
    <row r="447" customFormat="false" ht="15" hidden="false" customHeight="false" outlineLevel="0" collapsed="false">
      <c r="A447" s="19" t="s">
        <v>606</v>
      </c>
      <c r="B447" s="20" t="n">
        <v>45932</v>
      </c>
      <c r="C447" s="21" t="s">
        <v>603</v>
      </c>
      <c r="D447" s="21" t="n">
        <v>2025</v>
      </c>
      <c r="E447" s="16" t="s">
        <v>41</v>
      </c>
      <c r="F447" s="19" t="s">
        <v>64</v>
      </c>
      <c r="G447" s="19" t="s">
        <v>607</v>
      </c>
      <c r="H447" s="25" t="n">
        <v>-118.64</v>
      </c>
      <c r="I447" s="24"/>
    </row>
    <row r="448" customFormat="false" ht="15" hidden="false" customHeight="false" outlineLevel="0" collapsed="false">
      <c r="A448" s="13" t="s">
        <v>608</v>
      </c>
      <c r="B448" s="14" t="n">
        <v>45933</v>
      </c>
      <c r="C448" s="15" t="s">
        <v>603</v>
      </c>
      <c r="D448" s="15" t="n">
        <v>2025</v>
      </c>
      <c r="E448" s="22" t="s">
        <v>45</v>
      </c>
      <c r="F448" s="13" t="s">
        <v>46</v>
      </c>
      <c r="G448" s="13" t="s">
        <v>231</v>
      </c>
      <c r="H448" s="26" t="n">
        <v>2781.4</v>
      </c>
      <c r="I448" s="18"/>
    </row>
    <row r="449" customFormat="false" ht="15" hidden="false" customHeight="false" outlineLevel="0" collapsed="false">
      <c r="A449" s="19" t="s">
        <v>609</v>
      </c>
      <c r="B449" s="20" t="n">
        <v>45933</v>
      </c>
      <c r="C449" s="21" t="s">
        <v>603</v>
      </c>
      <c r="D449" s="21" t="n">
        <v>2025</v>
      </c>
      <c r="E449" s="16" t="s">
        <v>41</v>
      </c>
      <c r="F449" s="19" t="s">
        <v>42</v>
      </c>
      <c r="G449" s="19" t="s">
        <v>610</v>
      </c>
      <c r="H449" s="25" t="n">
        <v>-1475.96</v>
      </c>
      <c r="I449" s="24"/>
    </row>
    <row r="450" customFormat="false" ht="15" hidden="false" customHeight="false" outlineLevel="0" collapsed="false">
      <c r="A450" s="13" t="s">
        <v>611</v>
      </c>
      <c r="B450" s="14" t="n">
        <v>45933</v>
      </c>
      <c r="C450" s="15" t="s">
        <v>603</v>
      </c>
      <c r="D450" s="15" t="n">
        <v>2025</v>
      </c>
      <c r="E450" s="16" t="s">
        <v>41</v>
      </c>
      <c r="F450" s="13" t="s">
        <v>58</v>
      </c>
      <c r="G450" s="13" t="s">
        <v>612</v>
      </c>
      <c r="H450" s="17" t="n">
        <v>-2203.91</v>
      </c>
      <c r="I450" s="18"/>
    </row>
    <row r="451" customFormat="false" ht="15" hidden="false" customHeight="false" outlineLevel="0" collapsed="false">
      <c r="A451" s="19" t="s">
        <v>613</v>
      </c>
      <c r="B451" s="20" t="n">
        <v>45934</v>
      </c>
      <c r="C451" s="21" t="s">
        <v>603</v>
      </c>
      <c r="D451" s="21" t="n">
        <v>2025</v>
      </c>
      <c r="E451" s="22" t="s">
        <v>45</v>
      </c>
      <c r="F451" s="19" t="s">
        <v>46</v>
      </c>
      <c r="G451" s="19" t="s">
        <v>231</v>
      </c>
      <c r="H451" s="23" t="n">
        <v>582.62</v>
      </c>
      <c r="I451" s="24"/>
    </row>
    <row r="452" customFormat="false" ht="15" hidden="false" customHeight="false" outlineLevel="0" collapsed="false">
      <c r="A452" s="13" t="s">
        <v>614</v>
      </c>
      <c r="B452" s="14" t="n">
        <v>45934</v>
      </c>
      <c r="C452" s="15" t="s">
        <v>603</v>
      </c>
      <c r="D452" s="15" t="n">
        <v>2025</v>
      </c>
      <c r="E452" s="22" t="s">
        <v>45</v>
      </c>
      <c r="F452" s="13" t="s">
        <v>46</v>
      </c>
      <c r="G452" s="13" t="s">
        <v>70</v>
      </c>
      <c r="H452" s="26" t="n">
        <v>547.49</v>
      </c>
      <c r="I452" s="18"/>
    </row>
    <row r="453" customFormat="false" ht="15" hidden="false" customHeight="false" outlineLevel="0" collapsed="false">
      <c r="A453" s="19" t="s">
        <v>615</v>
      </c>
      <c r="B453" s="20" t="n">
        <v>45935</v>
      </c>
      <c r="C453" s="21" t="s">
        <v>603</v>
      </c>
      <c r="D453" s="21" t="n">
        <v>2025</v>
      </c>
      <c r="E453" s="16" t="s">
        <v>41</v>
      </c>
      <c r="F453" s="19" t="s">
        <v>61</v>
      </c>
      <c r="G453" s="19" t="s">
        <v>616</v>
      </c>
      <c r="H453" s="25" t="n">
        <v>-80.17</v>
      </c>
      <c r="I453" s="24"/>
    </row>
    <row r="454" customFormat="false" ht="15" hidden="false" customHeight="false" outlineLevel="0" collapsed="false">
      <c r="A454" s="13" t="s">
        <v>617</v>
      </c>
      <c r="B454" s="14" t="n">
        <v>45935</v>
      </c>
      <c r="C454" s="15" t="s">
        <v>603</v>
      </c>
      <c r="D454" s="15" t="n">
        <v>2025</v>
      </c>
      <c r="E454" s="16" t="s">
        <v>41</v>
      </c>
      <c r="F454" s="13" t="s">
        <v>67</v>
      </c>
      <c r="G454" s="13" t="s">
        <v>122</v>
      </c>
      <c r="H454" s="17" t="n">
        <v>-190.55</v>
      </c>
      <c r="I454" s="18"/>
    </row>
    <row r="455" customFormat="false" ht="15" hidden="false" customHeight="false" outlineLevel="0" collapsed="false">
      <c r="A455" s="19" t="s">
        <v>618</v>
      </c>
      <c r="B455" s="20" t="n">
        <v>45935</v>
      </c>
      <c r="C455" s="21" t="s">
        <v>603</v>
      </c>
      <c r="D455" s="21" t="n">
        <v>2025</v>
      </c>
      <c r="E455" s="16" t="s">
        <v>41</v>
      </c>
      <c r="F455" s="19" t="s">
        <v>53</v>
      </c>
      <c r="G455" s="19" t="s">
        <v>619</v>
      </c>
      <c r="H455" s="25" t="n">
        <v>-152.93</v>
      </c>
      <c r="I455" s="24"/>
    </row>
    <row r="456" customFormat="false" ht="15" hidden="false" customHeight="false" outlineLevel="0" collapsed="false">
      <c r="A456" s="13" t="s">
        <v>620</v>
      </c>
      <c r="B456" s="14" t="n">
        <v>45935</v>
      </c>
      <c r="C456" s="15" t="s">
        <v>603</v>
      </c>
      <c r="D456" s="15" t="n">
        <v>2025</v>
      </c>
      <c r="E456" s="16" t="s">
        <v>41</v>
      </c>
      <c r="F456" s="13" t="s">
        <v>92</v>
      </c>
      <c r="G456" s="13" t="s">
        <v>134</v>
      </c>
      <c r="H456" s="17" t="n">
        <v>-52.75</v>
      </c>
      <c r="I456" s="18"/>
    </row>
    <row r="457" customFormat="false" ht="15" hidden="false" customHeight="false" outlineLevel="0" collapsed="false">
      <c r="A457" s="19" t="s">
        <v>621</v>
      </c>
      <c r="B457" s="20" t="n">
        <v>45937</v>
      </c>
      <c r="C457" s="21" t="s">
        <v>603</v>
      </c>
      <c r="D457" s="21" t="n">
        <v>2025</v>
      </c>
      <c r="E457" s="16" t="s">
        <v>41</v>
      </c>
      <c r="F457" s="19" t="s">
        <v>83</v>
      </c>
      <c r="G457" s="19" t="s">
        <v>622</v>
      </c>
      <c r="H457" s="25" t="n">
        <v>-474.89</v>
      </c>
      <c r="I457" s="24"/>
    </row>
    <row r="458" customFormat="false" ht="15" hidden="false" customHeight="false" outlineLevel="0" collapsed="false">
      <c r="A458" s="13" t="s">
        <v>623</v>
      </c>
      <c r="B458" s="14" t="n">
        <v>45938</v>
      </c>
      <c r="C458" s="15" t="s">
        <v>603</v>
      </c>
      <c r="D458" s="15" t="n">
        <v>2025</v>
      </c>
      <c r="E458" s="22" t="s">
        <v>45</v>
      </c>
      <c r="F458" s="13" t="s">
        <v>46</v>
      </c>
      <c r="G458" s="13" t="s">
        <v>77</v>
      </c>
      <c r="H458" s="26" t="n">
        <v>3727.54</v>
      </c>
      <c r="I458" s="18"/>
    </row>
    <row r="459" customFormat="false" ht="15" hidden="false" customHeight="false" outlineLevel="0" collapsed="false">
      <c r="A459" s="19" t="s">
        <v>624</v>
      </c>
      <c r="B459" s="20" t="n">
        <v>45938</v>
      </c>
      <c r="C459" s="21" t="s">
        <v>603</v>
      </c>
      <c r="D459" s="21" t="n">
        <v>2025</v>
      </c>
      <c r="E459" s="22" t="s">
        <v>45</v>
      </c>
      <c r="F459" s="19" t="s">
        <v>46</v>
      </c>
      <c r="G459" s="19" t="s">
        <v>81</v>
      </c>
      <c r="H459" s="23" t="n">
        <v>347.61</v>
      </c>
      <c r="I459" s="24"/>
    </row>
    <row r="460" customFormat="false" ht="15" hidden="false" customHeight="false" outlineLevel="0" collapsed="false">
      <c r="A460" s="13" t="s">
        <v>625</v>
      </c>
      <c r="B460" s="14" t="n">
        <v>45938</v>
      </c>
      <c r="C460" s="15" t="s">
        <v>603</v>
      </c>
      <c r="D460" s="15" t="n">
        <v>2025</v>
      </c>
      <c r="E460" s="22" t="s">
        <v>45</v>
      </c>
      <c r="F460" s="13" t="s">
        <v>46</v>
      </c>
      <c r="G460" s="13" t="s">
        <v>70</v>
      </c>
      <c r="H460" s="26" t="n">
        <v>1287.91</v>
      </c>
      <c r="I460" s="18"/>
    </row>
    <row r="461" customFormat="false" ht="15" hidden="false" customHeight="false" outlineLevel="0" collapsed="false">
      <c r="A461" s="19" t="s">
        <v>626</v>
      </c>
      <c r="B461" s="20" t="n">
        <v>45938</v>
      </c>
      <c r="C461" s="21" t="s">
        <v>603</v>
      </c>
      <c r="D461" s="21" t="n">
        <v>2025</v>
      </c>
      <c r="E461" s="16" t="s">
        <v>41</v>
      </c>
      <c r="F461" s="19" t="s">
        <v>74</v>
      </c>
      <c r="G461" s="19" t="s">
        <v>201</v>
      </c>
      <c r="H461" s="25" t="n">
        <v>-333.17</v>
      </c>
      <c r="I461" s="24"/>
    </row>
    <row r="462" customFormat="false" ht="15" hidden="false" customHeight="false" outlineLevel="0" collapsed="false">
      <c r="A462" s="13" t="s">
        <v>627</v>
      </c>
      <c r="B462" s="14" t="n">
        <v>45939</v>
      </c>
      <c r="C462" s="15" t="s">
        <v>603</v>
      </c>
      <c r="D462" s="15" t="n">
        <v>2025</v>
      </c>
      <c r="E462" s="22" t="s">
        <v>45</v>
      </c>
      <c r="F462" s="13" t="s">
        <v>46</v>
      </c>
      <c r="G462" s="13" t="s">
        <v>47</v>
      </c>
      <c r="H462" s="26" t="n">
        <v>87.85</v>
      </c>
      <c r="I462" s="18"/>
    </row>
    <row r="463" customFormat="false" ht="15" hidden="false" customHeight="false" outlineLevel="0" collapsed="false">
      <c r="A463" s="19" t="s">
        <v>628</v>
      </c>
      <c r="B463" s="20" t="n">
        <v>45939</v>
      </c>
      <c r="C463" s="21" t="s">
        <v>603</v>
      </c>
      <c r="D463" s="21" t="n">
        <v>2025</v>
      </c>
      <c r="E463" s="16" t="s">
        <v>41</v>
      </c>
      <c r="F463" s="19" t="s">
        <v>67</v>
      </c>
      <c r="G463" s="19" t="s">
        <v>132</v>
      </c>
      <c r="H463" s="25" t="n">
        <v>-77.82</v>
      </c>
      <c r="I463" s="24"/>
    </row>
    <row r="464" customFormat="false" ht="15" hidden="false" customHeight="false" outlineLevel="0" collapsed="false">
      <c r="A464" s="13" t="s">
        <v>629</v>
      </c>
      <c r="B464" s="14" t="n">
        <v>45941</v>
      </c>
      <c r="C464" s="15" t="s">
        <v>603</v>
      </c>
      <c r="D464" s="15" t="n">
        <v>2025</v>
      </c>
      <c r="E464" s="22" t="s">
        <v>45</v>
      </c>
      <c r="F464" s="13" t="s">
        <v>46</v>
      </c>
      <c r="G464" s="13" t="s">
        <v>70</v>
      </c>
      <c r="H464" s="26" t="n">
        <v>5560.3</v>
      </c>
      <c r="I464" s="18"/>
    </row>
    <row r="465" customFormat="false" ht="15" hidden="false" customHeight="false" outlineLevel="0" collapsed="false">
      <c r="A465" s="19" t="s">
        <v>630</v>
      </c>
      <c r="B465" s="20" t="n">
        <v>45941</v>
      </c>
      <c r="C465" s="21" t="s">
        <v>603</v>
      </c>
      <c r="D465" s="21" t="n">
        <v>2025</v>
      </c>
      <c r="E465" s="16" t="s">
        <v>41</v>
      </c>
      <c r="F465" s="19" t="s">
        <v>74</v>
      </c>
      <c r="G465" s="19" t="s">
        <v>75</v>
      </c>
      <c r="H465" s="25" t="n">
        <v>-109.72</v>
      </c>
      <c r="I465" s="24"/>
    </row>
    <row r="466" customFormat="false" ht="15" hidden="false" customHeight="false" outlineLevel="0" collapsed="false">
      <c r="A466" s="13" t="s">
        <v>631</v>
      </c>
      <c r="B466" s="14" t="n">
        <v>45942</v>
      </c>
      <c r="C466" s="15" t="s">
        <v>603</v>
      </c>
      <c r="D466" s="15" t="n">
        <v>2025</v>
      </c>
      <c r="E466" s="22" t="s">
        <v>45</v>
      </c>
      <c r="F466" s="13" t="s">
        <v>46</v>
      </c>
      <c r="G466" s="13" t="s">
        <v>79</v>
      </c>
      <c r="H466" s="26" t="n">
        <v>243.4</v>
      </c>
      <c r="I466" s="18"/>
    </row>
    <row r="467" customFormat="false" ht="15" hidden="false" customHeight="false" outlineLevel="0" collapsed="false">
      <c r="A467" s="19" t="s">
        <v>632</v>
      </c>
      <c r="B467" s="20" t="n">
        <v>45942</v>
      </c>
      <c r="C467" s="21" t="s">
        <v>603</v>
      </c>
      <c r="D467" s="21" t="n">
        <v>2025</v>
      </c>
      <c r="E467" s="16" t="s">
        <v>41</v>
      </c>
      <c r="F467" s="19" t="s">
        <v>49</v>
      </c>
      <c r="G467" s="19" t="s">
        <v>50</v>
      </c>
      <c r="H467" s="25" t="n">
        <v>-10052.9</v>
      </c>
      <c r="I467" s="24"/>
    </row>
    <row r="468" customFormat="false" ht="15" hidden="false" customHeight="false" outlineLevel="0" collapsed="false">
      <c r="A468" s="13" t="s">
        <v>633</v>
      </c>
      <c r="B468" s="14" t="n">
        <v>45942</v>
      </c>
      <c r="C468" s="15" t="s">
        <v>603</v>
      </c>
      <c r="D468" s="15" t="n">
        <v>2025</v>
      </c>
      <c r="E468" s="16" t="s">
        <v>41</v>
      </c>
      <c r="F468" s="13" t="s">
        <v>92</v>
      </c>
      <c r="G468" s="13" t="s">
        <v>93</v>
      </c>
      <c r="H468" s="17" t="n">
        <v>-138.39</v>
      </c>
      <c r="I468" s="18"/>
    </row>
    <row r="469" customFormat="false" ht="15" hidden="false" customHeight="false" outlineLevel="0" collapsed="false">
      <c r="A469" s="19" t="s">
        <v>634</v>
      </c>
      <c r="B469" s="20" t="n">
        <v>45945</v>
      </c>
      <c r="C469" s="21" t="s">
        <v>603</v>
      </c>
      <c r="D469" s="21" t="n">
        <v>2025</v>
      </c>
      <c r="E469" s="22" t="s">
        <v>45</v>
      </c>
      <c r="F469" s="19" t="s">
        <v>46</v>
      </c>
      <c r="G469" s="19" t="s">
        <v>104</v>
      </c>
      <c r="H469" s="23" t="n">
        <v>709.77</v>
      </c>
      <c r="I469" s="24"/>
    </row>
    <row r="470" customFormat="false" ht="15" hidden="false" customHeight="false" outlineLevel="0" collapsed="false">
      <c r="A470" s="13" t="s">
        <v>635</v>
      </c>
      <c r="B470" s="14" t="n">
        <v>45948</v>
      </c>
      <c r="C470" s="15" t="s">
        <v>603</v>
      </c>
      <c r="D470" s="15" t="n">
        <v>2025</v>
      </c>
      <c r="E470" s="22" t="s">
        <v>45</v>
      </c>
      <c r="F470" s="13" t="s">
        <v>46</v>
      </c>
      <c r="G470" s="13" t="s">
        <v>70</v>
      </c>
      <c r="H470" s="26" t="n">
        <v>229.73</v>
      </c>
      <c r="I470" s="18"/>
    </row>
    <row r="471" customFormat="false" ht="15" hidden="false" customHeight="false" outlineLevel="0" collapsed="false">
      <c r="A471" s="19" t="s">
        <v>636</v>
      </c>
      <c r="B471" s="20" t="n">
        <v>45948</v>
      </c>
      <c r="C471" s="21" t="s">
        <v>603</v>
      </c>
      <c r="D471" s="21" t="n">
        <v>2025</v>
      </c>
      <c r="E471" s="22" t="s">
        <v>45</v>
      </c>
      <c r="F471" s="19" t="s">
        <v>46</v>
      </c>
      <c r="G471" s="19" t="s">
        <v>56</v>
      </c>
      <c r="H471" s="23" t="n">
        <v>231.48</v>
      </c>
      <c r="I471" s="24"/>
    </row>
    <row r="472" customFormat="false" ht="15" hidden="false" customHeight="false" outlineLevel="0" collapsed="false">
      <c r="A472" s="13" t="s">
        <v>637</v>
      </c>
      <c r="B472" s="14" t="n">
        <v>45948</v>
      </c>
      <c r="C472" s="15" t="s">
        <v>603</v>
      </c>
      <c r="D472" s="15" t="n">
        <v>2025</v>
      </c>
      <c r="E472" s="22" t="s">
        <v>45</v>
      </c>
      <c r="F472" s="13" t="s">
        <v>46</v>
      </c>
      <c r="G472" s="13" t="s">
        <v>231</v>
      </c>
      <c r="H472" s="26" t="n">
        <v>243.36</v>
      </c>
      <c r="I472" s="18"/>
    </row>
    <row r="473" customFormat="false" ht="15" hidden="false" customHeight="false" outlineLevel="0" collapsed="false">
      <c r="A473" s="19" t="s">
        <v>638</v>
      </c>
      <c r="B473" s="20" t="n">
        <v>45950</v>
      </c>
      <c r="C473" s="21" t="s">
        <v>603</v>
      </c>
      <c r="D473" s="21" t="n">
        <v>2025</v>
      </c>
      <c r="E473" s="22" t="s">
        <v>45</v>
      </c>
      <c r="F473" s="19" t="s">
        <v>46</v>
      </c>
      <c r="G473" s="19" t="s">
        <v>77</v>
      </c>
      <c r="H473" s="23" t="n">
        <v>133.92</v>
      </c>
      <c r="I473" s="24"/>
    </row>
    <row r="474" customFormat="false" ht="15" hidden="false" customHeight="false" outlineLevel="0" collapsed="false">
      <c r="A474" s="13" t="s">
        <v>639</v>
      </c>
      <c r="B474" s="14" t="n">
        <v>45951</v>
      </c>
      <c r="C474" s="15" t="s">
        <v>603</v>
      </c>
      <c r="D474" s="15" t="n">
        <v>2025</v>
      </c>
      <c r="E474" s="22" t="s">
        <v>45</v>
      </c>
      <c r="F474" s="13" t="s">
        <v>46</v>
      </c>
      <c r="G474" s="13" t="s">
        <v>70</v>
      </c>
      <c r="H474" s="26" t="n">
        <v>176.79</v>
      </c>
      <c r="I474" s="18"/>
    </row>
    <row r="475" customFormat="false" ht="15" hidden="false" customHeight="false" outlineLevel="0" collapsed="false">
      <c r="A475" s="19" t="s">
        <v>640</v>
      </c>
      <c r="B475" s="20" t="n">
        <v>45952</v>
      </c>
      <c r="C475" s="21" t="s">
        <v>603</v>
      </c>
      <c r="D475" s="21" t="n">
        <v>2025</v>
      </c>
      <c r="E475" s="22" t="s">
        <v>45</v>
      </c>
      <c r="F475" s="19" t="s">
        <v>46</v>
      </c>
      <c r="G475" s="19" t="s">
        <v>104</v>
      </c>
      <c r="H475" s="23" t="n">
        <v>1139.97</v>
      </c>
      <c r="I475" s="24"/>
    </row>
    <row r="476" customFormat="false" ht="15" hidden="false" customHeight="false" outlineLevel="0" collapsed="false">
      <c r="A476" s="13" t="s">
        <v>641</v>
      </c>
      <c r="B476" s="14" t="n">
        <v>45953</v>
      </c>
      <c r="C476" s="15" t="s">
        <v>603</v>
      </c>
      <c r="D476" s="15" t="n">
        <v>2025</v>
      </c>
      <c r="E476" s="22" t="s">
        <v>45</v>
      </c>
      <c r="F476" s="13" t="s">
        <v>46</v>
      </c>
      <c r="G476" s="13" t="s">
        <v>56</v>
      </c>
      <c r="H476" s="26" t="n">
        <v>180.710000000004</v>
      </c>
      <c r="I476" s="18"/>
    </row>
    <row r="477" customFormat="false" ht="15" hidden="false" customHeight="false" outlineLevel="0" collapsed="false">
      <c r="A477" s="19" t="s">
        <v>642</v>
      </c>
      <c r="B477" s="20" t="n">
        <v>45954</v>
      </c>
      <c r="C477" s="21" t="s">
        <v>603</v>
      </c>
      <c r="D477" s="21" t="n">
        <v>2025</v>
      </c>
      <c r="E477" s="22" t="s">
        <v>45</v>
      </c>
      <c r="F477" s="19" t="s">
        <v>46</v>
      </c>
      <c r="G477" s="19" t="s">
        <v>231</v>
      </c>
      <c r="H477" s="23" t="n">
        <v>216.19</v>
      </c>
      <c r="I477" s="24"/>
    </row>
    <row r="478" customFormat="false" ht="15" hidden="false" customHeight="false" outlineLevel="0" collapsed="false">
      <c r="A478" s="13" t="s">
        <v>643</v>
      </c>
      <c r="B478" s="14" t="n">
        <v>45955</v>
      </c>
      <c r="C478" s="15" t="s">
        <v>603</v>
      </c>
      <c r="D478" s="15" t="n">
        <v>2025</v>
      </c>
      <c r="E478" s="16" t="s">
        <v>41</v>
      </c>
      <c r="F478" s="13" t="s">
        <v>107</v>
      </c>
      <c r="G478" s="13" t="s">
        <v>120</v>
      </c>
      <c r="H478" s="17" t="n">
        <v>-82.96</v>
      </c>
      <c r="I478" s="18"/>
    </row>
    <row r="479" customFormat="false" ht="15" hidden="false" customHeight="false" outlineLevel="0" collapsed="false">
      <c r="A479" s="19" t="s">
        <v>644</v>
      </c>
      <c r="B479" s="20" t="n">
        <v>45956</v>
      </c>
      <c r="C479" s="21" t="s">
        <v>603</v>
      </c>
      <c r="D479" s="21" t="n">
        <v>2025</v>
      </c>
      <c r="E479" s="22" t="s">
        <v>45</v>
      </c>
      <c r="F479" s="19" t="s">
        <v>46</v>
      </c>
      <c r="G479" s="19" t="s">
        <v>79</v>
      </c>
      <c r="H479" s="23" t="n">
        <v>3642.73</v>
      </c>
      <c r="I479" s="24"/>
    </row>
    <row r="480" customFormat="false" ht="15" hidden="false" customHeight="false" outlineLevel="0" collapsed="false">
      <c r="A480" s="13" t="s">
        <v>645</v>
      </c>
      <c r="B480" s="14" t="n">
        <v>45956</v>
      </c>
      <c r="C480" s="15" t="s">
        <v>603</v>
      </c>
      <c r="D480" s="15" t="n">
        <v>2025</v>
      </c>
      <c r="E480" s="22" t="s">
        <v>45</v>
      </c>
      <c r="F480" s="13" t="s">
        <v>46</v>
      </c>
      <c r="G480" s="13" t="s">
        <v>77</v>
      </c>
      <c r="H480" s="26" t="n">
        <v>1102.15</v>
      </c>
      <c r="I480" s="18"/>
    </row>
    <row r="481" customFormat="false" ht="15" hidden="false" customHeight="false" outlineLevel="0" collapsed="false">
      <c r="A481" s="19" t="s">
        <v>646</v>
      </c>
      <c r="B481" s="20" t="n">
        <v>45956</v>
      </c>
      <c r="C481" s="21" t="s">
        <v>603</v>
      </c>
      <c r="D481" s="21" t="n">
        <v>2025</v>
      </c>
      <c r="E481" s="16" t="s">
        <v>41</v>
      </c>
      <c r="F481" s="19" t="s">
        <v>74</v>
      </c>
      <c r="G481" s="19" t="s">
        <v>90</v>
      </c>
      <c r="H481" s="25" t="n">
        <v>-73.82</v>
      </c>
      <c r="I481" s="24"/>
    </row>
    <row r="482" customFormat="false" ht="15" hidden="false" customHeight="false" outlineLevel="0" collapsed="false">
      <c r="A482" s="13" t="s">
        <v>647</v>
      </c>
      <c r="B482" s="14" t="n">
        <v>45957</v>
      </c>
      <c r="C482" s="15" t="s">
        <v>603</v>
      </c>
      <c r="D482" s="15" t="n">
        <v>2025</v>
      </c>
      <c r="E482" s="22" t="s">
        <v>45</v>
      </c>
      <c r="F482" s="13" t="s">
        <v>46</v>
      </c>
      <c r="G482" s="13" t="s">
        <v>56</v>
      </c>
      <c r="H482" s="26" t="n">
        <v>1208.28</v>
      </c>
      <c r="I482" s="18"/>
    </row>
    <row r="483" customFormat="false" ht="15" hidden="false" customHeight="false" outlineLevel="0" collapsed="false">
      <c r="A483" s="19" t="s">
        <v>648</v>
      </c>
      <c r="B483" s="20" t="n">
        <v>45957</v>
      </c>
      <c r="C483" s="21" t="s">
        <v>603</v>
      </c>
      <c r="D483" s="21" t="n">
        <v>2025</v>
      </c>
      <c r="E483" s="16" t="s">
        <v>41</v>
      </c>
      <c r="F483" s="19" t="s">
        <v>87</v>
      </c>
      <c r="G483" s="19" t="s">
        <v>649</v>
      </c>
      <c r="H483" s="25" t="n">
        <v>-732.94</v>
      </c>
      <c r="I483" s="24"/>
    </row>
    <row r="484" customFormat="false" ht="15" hidden="false" customHeight="false" outlineLevel="0" collapsed="false">
      <c r="A484" s="13" t="s">
        <v>650</v>
      </c>
      <c r="B484" s="14" t="n">
        <v>45957</v>
      </c>
      <c r="C484" s="15" t="s">
        <v>603</v>
      </c>
      <c r="D484" s="15" t="n">
        <v>2025</v>
      </c>
      <c r="E484" s="16" t="s">
        <v>41</v>
      </c>
      <c r="F484" s="13" t="s">
        <v>107</v>
      </c>
      <c r="G484" s="13" t="s">
        <v>141</v>
      </c>
      <c r="H484" s="17" t="n">
        <v>-39.25</v>
      </c>
      <c r="I484" s="18"/>
    </row>
    <row r="485" customFormat="false" ht="15" hidden="false" customHeight="false" outlineLevel="0" collapsed="false">
      <c r="A485" s="19" t="s">
        <v>651</v>
      </c>
      <c r="B485" s="20" t="n">
        <v>45958</v>
      </c>
      <c r="C485" s="21" t="s">
        <v>603</v>
      </c>
      <c r="D485" s="21" t="n">
        <v>2025</v>
      </c>
      <c r="E485" s="16" t="s">
        <v>41</v>
      </c>
      <c r="F485" s="19" t="s">
        <v>49</v>
      </c>
      <c r="G485" s="19" t="s">
        <v>139</v>
      </c>
      <c r="H485" s="25" t="n">
        <v>-2830.63</v>
      </c>
      <c r="I485" s="24"/>
    </row>
    <row r="486" customFormat="false" ht="15" hidden="false" customHeight="false" outlineLevel="0" collapsed="false">
      <c r="A486" s="13" t="s">
        <v>652</v>
      </c>
      <c r="B486" s="14" t="n">
        <v>45958</v>
      </c>
      <c r="C486" s="15" t="s">
        <v>603</v>
      </c>
      <c r="D486" s="15" t="n">
        <v>2025</v>
      </c>
      <c r="E486" s="16" t="s">
        <v>41</v>
      </c>
      <c r="F486" s="13" t="s">
        <v>67</v>
      </c>
      <c r="G486" s="13" t="s">
        <v>68</v>
      </c>
      <c r="H486" s="17" t="n">
        <v>-78.59</v>
      </c>
      <c r="I486" s="18"/>
    </row>
    <row r="487" customFormat="false" ht="15" hidden="false" customHeight="false" outlineLevel="0" collapsed="false">
      <c r="A487" s="19" t="s">
        <v>653</v>
      </c>
      <c r="B487" s="20" t="n">
        <v>45962</v>
      </c>
      <c r="C487" s="21" t="s">
        <v>654</v>
      </c>
      <c r="D487" s="21" t="n">
        <v>2025</v>
      </c>
      <c r="E487" s="16" t="s">
        <v>41</v>
      </c>
      <c r="F487" s="19" t="s">
        <v>42</v>
      </c>
      <c r="G487" s="19" t="s">
        <v>655</v>
      </c>
      <c r="H487" s="25" t="n">
        <v>-1488.75</v>
      </c>
      <c r="I487" s="24"/>
    </row>
    <row r="488" customFormat="false" ht="15" hidden="false" customHeight="false" outlineLevel="0" collapsed="false">
      <c r="A488" s="13" t="s">
        <v>656</v>
      </c>
      <c r="B488" s="14" t="n">
        <v>45962</v>
      </c>
      <c r="C488" s="15" t="s">
        <v>654</v>
      </c>
      <c r="D488" s="15" t="n">
        <v>2025</v>
      </c>
      <c r="E488" s="16" t="s">
        <v>41</v>
      </c>
      <c r="F488" s="13" t="s">
        <v>107</v>
      </c>
      <c r="G488" s="13" t="s">
        <v>108</v>
      </c>
      <c r="H488" s="17" t="n">
        <v>-100.52</v>
      </c>
      <c r="I488" s="18"/>
    </row>
    <row r="489" customFormat="false" ht="15" hidden="false" customHeight="false" outlineLevel="0" collapsed="false">
      <c r="A489" s="19" t="s">
        <v>657</v>
      </c>
      <c r="B489" s="20" t="n">
        <v>45962</v>
      </c>
      <c r="C489" s="21" t="s">
        <v>654</v>
      </c>
      <c r="D489" s="21" t="n">
        <v>2025</v>
      </c>
      <c r="E489" s="16" t="s">
        <v>41</v>
      </c>
      <c r="F489" s="19" t="s">
        <v>53</v>
      </c>
      <c r="G489" s="19" t="s">
        <v>658</v>
      </c>
      <c r="H489" s="25" t="n">
        <v>-152.83</v>
      </c>
      <c r="I489" s="24"/>
    </row>
    <row r="490" customFormat="false" ht="15" hidden="false" customHeight="false" outlineLevel="0" collapsed="false">
      <c r="A490" s="13" t="s">
        <v>659</v>
      </c>
      <c r="B490" s="14" t="n">
        <v>45963</v>
      </c>
      <c r="C490" s="15" t="s">
        <v>654</v>
      </c>
      <c r="D490" s="15" t="n">
        <v>2025</v>
      </c>
      <c r="E490" s="16" t="s">
        <v>41</v>
      </c>
      <c r="F490" s="13" t="s">
        <v>49</v>
      </c>
      <c r="G490" s="13" t="s">
        <v>50</v>
      </c>
      <c r="H490" s="17" t="n">
        <v>-3396.62</v>
      </c>
      <c r="I490" s="18"/>
    </row>
    <row r="491" customFormat="false" ht="15" hidden="false" customHeight="false" outlineLevel="0" collapsed="false">
      <c r="A491" s="19" t="s">
        <v>660</v>
      </c>
      <c r="B491" s="20" t="n">
        <v>45963</v>
      </c>
      <c r="C491" s="21" t="s">
        <v>654</v>
      </c>
      <c r="D491" s="21" t="n">
        <v>2025</v>
      </c>
      <c r="E491" s="16" t="s">
        <v>41</v>
      </c>
      <c r="F491" s="19" t="s">
        <v>58</v>
      </c>
      <c r="G491" s="19" t="s">
        <v>661</v>
      </c>
      <c r="H491" s="25" t="n">
        <v>-2206.86</v>
      </c>
      <c r="I491" s="24"/>
    </row>
    <row r="492" customFormat="false" ht="15" hidden="false" customHeight="false" outlineLevel="0" collapsed="false">
      <c r="A492" s="13" t="s">
        <v>662</v>
      </c>
      <c r="B492" s="14" t="n">
        <v>45963</v>
      </c>
      <c r="C492" s="15" t="s">
        <v>654</v>
      </c>
      <c r="D492" s="15" t="n">
        <v>2025</v>
      </c>
      <c r="E492" s="16" t="s">
        <v>41</v>
      </c>
      <c r="F492" s="13" t="s">
        <v>61</v>
      </c>
      <c r="G492" s="13" t="s">
        <v>663</v>
      </c>
      <c r="H492" s="17" t="n">
        <v>-78.98</v>
      </c>
      <c r="I492" s="18"/>
    </row>
    <row r="493" customFormat="false" ht="15" hidden="false" customHeight="false" outlineLevel="0" collapsed="false">
      <c r="A493" s="19" t="s">
        <v>664</v>
      </c>
      <c r="B493" s="20" t="n">
        <v>45964</v>
      </c>
      <c r="C493" s="21" t="s">
        <v>654</v>
      </c>
      <c r="D493" s="21" t="n">
        <v>2025</v>
      </c>
      <c r="E493" s="22" t="s">
        <v>45</v>
      </c>
      <c r="F493" s="19" t="s">
        <v>46</v>
      </c>
      <c r="G493" s="19" t="s">
        <v>81</v>
      </c>
      <c r="H493" s="23" t="n">
        <v>883.72</v>
      </c>
      <c r="I493" s="24"/>
    </row>
    <row r="494" customFormat="false" ht="15" hidden="false" customHeight="false" outlineLevel="0" collapsed="false">
      <c r="A494" s="13" t="s">
        <v>665</v>
      </c>
      <c r="B494" s="14" t="n">
        <v>45965</v>
      </c>
      <c r="C494" s="15" t="s">
        <v>654</v>
      </c>
      <c r="D494" s="15" t="n">
        <v>2025</v>
      </c>
      <c r="E494" s="22" t="s">
        <v>45</v>
      </c>
      <c r="F494" s="13" t="s">
        <v>46</v>
      </c>
      <c r="G494" s="13" t="s">
        <v>81</v>
      </c>
      <c r="H494" s="26" t="n">
        <v>1214.77</v>
      </c>
      <c r="I494" s="18"/>
    </row>
    <row r="495" customFormat="false" ht="15" hidden="false" customHeight="false" outlineLevel="0" collapsed="false">
      <c r="A495" s="19" t="s">
        <v>666</v>
      </c>
      <c r="B495" s="20" t="n">
        <v>45965</v>
      </c>
      <c r="C495" s="21" t="s">
        <v>654</v>
      </c>
      <c r="D495" s="21" t="n">
        <v>2025</v>
      </c>
      <c r="E495" s="22" t="s">
        <v>45</v>
      </c>
      <c r="F495" s="19" t="s">
        <v>46</v>
      </c>
      <c r="G495" s="19" t="s">
        <v>70</v>
      </c>
      <c r="H495" s="23" t="n">
        <v>417.16</v>
      </c>
      <c r="I495" s="24"/>
    </row>
    <row r="496" customFormat="false" ht="15" hidden="false" customHeight="false" outlineLevel="0" collapsed="false">
      <c r="A496" s="13" t="s">
        <v>667</v>
      </c>
      <c r="B496" s="14" t="n">
        <v>45965</v>
      </c>
      <c r="C496" s="15" t="s">
        <v>654</v>
      </c>
      <c r="D496" s="15" t="n">
        <v>2025</v>
      </c>
      <c r="E496" s="22" t="s">
        <v>45</v>
      </c>
      <c r="F496" s="13" t="s">
        <v>46</v>
      </c>
      <c r="G496" s="13" t="s">
        <v>56</v>
      </c>
      <c r="H496" s="26" t="n">
        <v>162.05</v>
      </c>
      <c r="I496" s="18"/>
    </row>
    <row r="497" customFormat="false" ht="15" hidden="false" customHeight="false" outlineLevel="0" collapsed="false">
      <c r="A497" s="19" t="s">
        <v>668</v>
      </c>
      <c r="B497" s="20" t="n">
        <v>45965</v>
      </c>
      <c r="C497" s="21" t="s">
        <v>654</v>
      </c>
      <c r="D497" s="21" t="n">
        <v>2025</v>
      </c>
      <c r="E497" s="22" t="s">
        <v>45</v>
      </c>
      <c r="F497" s="19" t="s">
        <v>46</v>
      </c>
      <c r="G497" s="19" t="s">
        <v>56</v>
      </c>
      <c r="H497" s="23" t="n">
        <v>174.17</v>
      </c>
      <c r="I497" s="24"/>
    </row>
    <row r="498" customFormat="false" ht="15" hidden="false" customHeight="false" outlineLevel="0" collapsed="false">
      <c r="A498" s="13" t="s">
        <v>669</v>
      </c>
      <c r="B498" s="14" t="n">
        <v>45965</v>
      </c>
      <c r="C498" s="15" t="s">
        <v>654</v>
      </c>
      <c r="D498" s="15" t="n">
        <v>2025</v>
      </c>
      <c r="E498" s="16" t="s">
        <v>41</v>
      </c>
      <c r="F498" s="13" t="s">
        <v>83</v>
      </c>
      <c r="G498" s="13" t="s">
        <v>126</v>
      </c>
      <c r="H498" s="17" t="n">
        <v>-190.57</v>
      </c>
      <c r="I498" s="18"/>
    </row>
    <row r="499" customFormat="false" ht="15" hidden="false" customHeight="false" outlineLevel="0" collapsed="false">
      <c r="A499" s="19" t="s">
        <v>670</v>
      </c>
      <c r="B499" s="20" t="n">
        <v>45965</v>
      </c>
      <c r="C499" s="21" t="s">
        <v>654</v>
      </c>
      <c r="D499" s="21" t="n">
        <v>2025</v>
      </c>
      <c r="E499" s="16" t="s">
        <v>41</v>
      </c>
      <c r="F499" s="19" t="s">
        <v>64</v>
      </c>
      <c r="G499" s="19" t="s">
        <v>671</v>
      </c>
      <c r="H499" s="25" t="n">
        <v>-120.32</v>
      </c>
      <c r="I499" s="24"/>
    </row>
    <row r="500" customFormat="false" ht="15" hidden="false" customHeight="false" outlineLevel="0" collapsed="false">
      <c r="A500" s="13" t="s">
        <v>672</v>
      </c>
      <c r="B500" s="14" t="n">
        <v>45966</v>
      </c>
      <c r="C500" s="15" t="s">
        <v>654</v>
      </c>
      <c r="D500" s="15" t="n">
        <v>2025</v>
      </c>
      <c r="E500" s="22" t="s">
        <v>45</v>
      </c>
      <c r="F500" s="13" t="s">
        <v>46</v>
      </c>
      <c r="G500" s="13" t="s">
        <v>104</v>
      </c>
      <c r="H500" s="26" t="n">
        <v>356.31</v>
      </c>
      <c r="I500" s="18"/>
    </row>
    <row r="501" customFormat="false" ht="15" hidden="false" customHeight="false" outlineLevel="0" collapsed="false">
      <c r="A501" s="19" t="s">
        <v>673</v>
      </c>
      <c r="B501" s="20" t="n">
        <v>45966</v>
      </c>
      <c r="C501" s="21" t="s">
        <v>654</v>
      </c>
      <c r="D501" s="21" t="n">
        <v>2025</v>
      </c>
      <c r="E501" s="22" t="s">
        <v>45</v>
      </c>
      <c r="F501" s="19" t="s">
        <v>46</v>
      </c>
      <c r="G501" s="19" t="s">
        <v>81</v>
      </c>
      <c r="H501" s="23" t="n">
        <v>131.9</v>
      </c>
      <c r="I501" s="24"/>
    </row>
    <row r="502" customFormat="false" ht="15" hidden="false" customHeight="false" outlineLevel="0" collapsed="false">
      <c r="A502" s="13" t="s">
        <v>674</v>
      </c>
      <c r="B502" s="14" t="n">
        <v>45967</v>
      </c>
      <c r="C502" s="15" t="s">
        <v>654</v>
      </c>
      <c r="D502" s="15" t="n">
        <v>2025</v>
      </c>
      <c r="E502" s="16" t="s">
        <v>41</v>
      </c>
      <c r="F502" s="13" t="s">
        <v>92</v>
      </c>
      <c r="G502" s="13" t="s">
        <v>134</v>
      </c>
      <c r="H502" s="17" t="n">
        <v>-37.54</v>
      </c>
      <c r="I502" s="18"/>
    </row>
    <row r="503" customFormat="false" ht="15" hidden="false" customHeight="false" outlineLevel="0" collapsed="false">
      <c r="A503" s="19" t="s">
        <v>675</v>
      </c>
      <c r="B503" s="20" t="n">
        <v>45968</v>
      </c>
      <c r="C503" s="21" t="s">
        <v>654</v>
      </c>
      <c r="D503" s="21" t="n">
        <v>2025</v>
      </c>
      <c r="E503" s="22" t="s">
        <v>45</v>
      </c>
      <c r="F503" s="19" t="s">
        <v>46</v>
      </c>
      <c r="G503" s="19" t="s">
        <v>77</v>
      </c>
      <c r="H503" s="23" t="n">
        <v>282.02</v>
      </c>
      <c r="I503" s="24"/>
    </row>
    <row r="504" customFormat="false" ht="15" hidden="false" customHeight="false" outlineLevel="0" collapsed="false">
      <c r="A504" s="13" t="s">
        <v>676</v>
      </c>
      <c r="B504" s="14" t="n">
        <v>45969</v>
      </c>
      <c r="C504" s="15" t="s">
        <v>654</v>
      </c>
      <c r="D504" s="15" t="n">
        <v>2025</v>
      </c>
      <c r="E504" s="22" t="s">
        <v>45</v>
      </c>
      <c r="F504" s="13" t="s">
        <v>46</v>
      </c>
      <c r="G504" s="13" t="s">
        <v>77</v>
      </c>
      <c r="H504" s="26" t="n">
        <v>213.18</v>
      </c>
      <c r="I504" s="18"/>
    </row>
    <row r="505" customFormat="false" ht="15" hidden="false" customHeight="false" outlineLevel="0" collapsed="false">
      <c r="A505" s="19" t="s">
        <v>677</v>
      </c>
      <c r="B505" s="20" t="n">
        <v>45970</v>
      </c>
      <c r="C505" s="21" t="s">
        <v>654</v>
      </c>
      <c r="D505" s="21" t="n">
        <v>2025</v>
      </c>
      <c r="E505" s="22" t="s">
        <v>45</v>
      </c>
      <c r="F505" s="19" t="s">
        <v>46</v>
      </c>
      <c r="G505" s="19" t="s">
        <v>47</v>
      </c>
      <c r="H505" s="23" t="n">
        <v>301.1</v>
      </c>
      <c r="I505" s="24"/>
    </row>
    <row r="506" customFormat="false" ht="15" hidden="false" customHeight="false" outlineLevel="0" collapsed="false">
      <c r="A506" s="13" t="s">
        <v>678</v>
      </c>
      <c r="B506" s="14" t="n">
        <v>45971</v>
      </c>
      <c r="C506" s="15" t="s">
        <v>654</v>
      </c>
      <c r="D506" s="15" t="n">
        <v>2025</v>
      </c>
      <c r="E506" s="16" t="s">
        <v>41</v>
      </c>
      <c r="F506" s="13" t="s">
        <v>49</v>
      </c>
      <c r="G506" s="13" t="s">
        <v>299</v>
      </c>
      <c r="H506" s="17" t="n">
        <v>-3613.22</v>
      </c>
      <c r="I506" s="18"/>
    </row>
    <row r="507" customFormat="false" ht="15" hidden="false" customHeight="false" outlineLevel="0" collapsed="false">
      <c r="A507" s="19" t="s">
        <v>679</v>
      </c>
      <c r="B507" s="20" t="n">
        <v>45972</v>
      </c>
      <c r="C507" s="21" t="s">
        <v>654</v>
      </c>
      <c r="D507" s="21" t="n">
        <v>2025</v>
      </c>
      <c r="E507" s="22" t="s">
        <v>45</v>
      </c>
      <c r="F507" s="19" t="s">
        <v>46</v>
      </c>
      <c r="G507" s="19" t="s">
        <v>98</v>
      </c>
      <c r="H507" s="23" t="n">
        <v>1571.59</v>
      </c>
      <c r="I507" s="24"/>
    </row>
    <row r="508" customFormat="false" ht="15" hidden="false" customHeight="false" outlineLevel="0" collapsed="false">
      <c r="A508" s="13" t="s">
        <v>680</v>
      </c>
      <c r="B508" s="14" t="n">
        <v>45972</v>
      </c>
      <c r="C508" s="15" t="s">
        <v>654</v>
      </c>
      <c r="D508" s="15" t="n">
        <v>2025</v>
      </c>
      <c r="E508" s="22" t="s">
        <v>45</v>
      </c>
      <c r="F508" s="13" t="s">
        <v>46</v>
      </c>
      <c r="G508" s="13" t="s">
        <v>70</v>
      </c>
      <c r="H508" s="17" t="n">
        <v>-382.429999999999</v>
      </c>
      <c r="I508" s="18"/>
    </row>
    <row r="509" customFormat="false" ht="15" hidden="false" customHeight="false" outlineLevel="0" collapsed="false">
      <c r="A509" s="19" t="s">
        <v>681</v>
      </c>
      <c r="B509" s="20" t="n">
        <v>45972</v>
      </c>
      <c r="C509" s="21" t="s">
        <v>654</v>
      </c>
      <c r="D509" s="21" t="n">
        <v>2025</v>
      </c>
      <c r="E509" s="16" t="s">
        <v>41</v>
      </c>
      <c r="F509" s="19" t="s">
        <v>107</v>
      </c>
      <c r="G509" s="19" t="s">
        <v>141</v>
      </c>
      <c r="H509" s="25" t="n">
        <v>-18.78</v>
      </c>
      <c r="I509" s="24"/>
    </row>
    <row r="510" customFormat="false" ht="15" hidden="false" customHeight="false" outlineLevel="0" collapsed="false">
      <c r="A510" s="13" t="s">
        <v>682</v>
      </c>
      <c r="B510" s="14" t="n">
        <v>45973</v>
      </c>
      <c r="C510" s="15" t="s">
        <v>654</v>
      </c>
      <c r="D510" s="15" t="n">
        <v>2025</v>
      </c>
      <c r="E510" s="22" t="s">
        <v>45</v>
      </c>
      <c r="F510" s="13" t="s">
        <v>46</v>
      </c>
      <c r="G510" s="13" t="s">
        <v>79</v>
      </c>
      <c r="H510" s="26" t="n">
        <v>2778.01</v>
      </c>
      <c r="I510" s="18"/>
    </row>
    <row r="511" customFormat="false" ht="15" hidden="false" customHeight="false" outlineLevel="0" collapsed="false">
      <c r="A511" s="19" t="s">
        <v>683</v>
      </c>
      <c r="B511" s="20" t="n">
        <v>45973</v>
      </c>
      <c r="C511" s="21" t="s">
        <v>654</v>
      </c>
      <c r="D511" s="21" t="n">
        <v>2025</v>
      </c>
      <c r="E511" s="16" t="s">
        <v>41</v>
      </c>
      <c r="F511" s="19" t="s">
        <v>83</v>
      </c>
      <c r="G511" s="19" t="s">
        <v>96</v>
      </c>
      <c r="H511" s="25" t="n">
        <v>-445.67</v>
      </c>
      <c r="I511" s="24"/>
    </row>
    <row r="512" customFormat="false" ht="15" hidden="false" customHeight="false" outlineLevel="0" collapsed="false">
      <c r="A512" s="13" t="s">
        <v>684</v>
      </c>
      <c r="B512" s="14" t="n">
        <v>45973</v>
      </c>
      <c r="C512" s="15" t="s">
        <v>654</v>
      </c>
      <c r="D512" s="15" t="n">
        <v>2025</v>
      </c>
      <c r="E512" s="16" t="s">
        <v>41</v>
      </c>
      <c r="F512" s="13" t="s">
        <v>107</v>
      </c>
      <c r="G512" s="13" t="s">
        <v>120</v>
      </c>
      <c r="H512" s="17" t="n">
        <v>-25.38</v>
      </c>
      <c r="I512" s="18"/>
    </row>
    <row r="513" customFormat="false" ht="15" hidden="false" customHeight="false" outlineLevel="0" collapsed="false">
      <c r="A513" s="19" t="s">
        <v>685</v>
      </c>
      <c r="B513" s="20" t="n">
        <v>45973</v>
      </c>
      <c r="C513" s="21" t="s">
        <v>654</v>
      </c>
      <c r="D513" s="21" t="n">
        <v>2025</v>
      </c>
      <c r="E513" s="16" t="s">
        <v>41</v>
      </c>
      <c r="F513" s="19" t="s">
        <v>92</v>
      </c>
      <c r="G513" s="19" t="s">
        <v>136</v>
      </c>
      <c r="H513" s="25" t="n">
        <v>-121.05</v>
      </c>
      <c r="I513" s="24"/>
    </row>
    <row r="514" customFormat="false" ht="15" hidden="false" customHeight="false" outlineLevel="0" collapsed="false">
      <c r="A514" s="13" t="s">
        <v>686</v>
      </c>
      <c r="B514" s="14" t="n">
        <v>45974</v>
      </c>
      <c r="C514" s="15" t="s">
        <v>654</v>
      </c>
      <c r="D514" s="15" t="n">
        <v>2025</v>
      </c>
      <c r="E514" s="22" t="s">
        <v>45</v>
      </c>
      <c r="F514" s="13" t="s">
        <v>46</v>
      </c>
      <c r="G514" s="13" t="s">
        <v>98</v>
      </c>
      <c r="H514" s="26" t="n">
        <v>705.29</v>
      </c>
      <c r="I514" s="18"/>
    </row>
    <row r="515" customFormat="false" ht="15" hidden="false" customHeight="false" outlineLevel="0" collapsed="false">
      <c r="A515" s="19" t="s">
        <v>687</v>
      </c>
      <c r="B515" s="20" t="n">
        <v>45975</v>
      </c>
      <c r="C515" s="21" t="s">
        <v>654</v>
      </c>
      <c r="D515" s="21" t="n">
        <v>2025</v>
      </c>
      <c r="E515" s="22" t="s">
        <v>45</v>
      </c>
      <c r="F515" s="19" t="s">
        <v>46</v>
      </c>
      <c r="G515" s="19" t="s">
        <v>79</v>
      </c>
      <c r="H515" s="23" t="n">
        <v>1000.64</v>
      </c>
      <c r="I515" s="24"/>
    </row>
    <row r="516" customFormat="false" ht="15" hidden="false" customHeight="false" outlineLevel="0" collapsed="false">
      <c r="A516" s="13" t="s">
        <v>688</v>
      </c>
      <c r="B516" s="14" t="n">
        <v>45975</v>
      </c>
      <c r="C516" s="15" t="s">
        <v>654</v>
      </c>
      <c r="D516" s="15" t="n">
        <v>2025</v>
      </c>
      <c r="E516" s="16" t="s">
        <v>41</v>
      </c>
      <c r="F516" s="13" t="s">
        <v>87</v>
      </c>
      <c r="G516" s="13" t="s">
        <v>88</v>
      </c>
      <c r="H516" s="17" t="n">
        <v>-145.37</v>
      </c>
      <c r="I516" s="18"/>
    </row>
    <row r="517" customFormat="false" ht="15" hidden="false" customHeight="false" outlineLevel="0" collapsed="false">
      <c r="A517" s="19" t="s">
        <v>689</v>
      </c>
      <c r="B517" s="20" t="n">
        <v>45976</v>
      </c>
      <c r="C517" s="21" t="s">
        <v>654</v>
      </c>
      <c r="D517" s="21" t="n">
        <v>2025</v>
      </c>
      <c r="E517" s="22" t="s">
        <v>45</v>
      </c>
      <c r="F517" s="19" t="s">
        <v>46</v>
      </c>
      <c r="G517" s="19" t="s">
        <v>79</v>
      </c>
      <c r="H517" s="23" t="n">
        <v>3119.38</v>
      </c>
      <c r="I517" s="24"/>
    </row>
    <row r="518" customFormat="false" ht="15" hidden="false" customHeight="false" outlineLevel="0" collapsed="false">
      <c r="A518" s="13" t="s">
        <v>690</v>
      </c>
      <c r="B518" s="14" t="n">
        <v>45976</v>
      </c>
      <c r="C518" s="15" t="s">
        <v>654</v>
      </c>
      <c r="D518" s="15" t="n">
        <v>2025</v>
      </c>
      <c r="E518" s="22" t="s">
        <v>45</v>
      </c>
      <c r="F518" s="13" t="s">
        <v>46</v>
      </c>
      <c r="G518" s="13" t="s">
        <v>70</v>
      </c>
      <c r="H518" s="26" t="n">
        <v>1636.29</v>
      </c>
      <c r="I518" s="18"/>
    </row>
    <row r="519" customFormat="false" ht="15" hidden="false" customHeight="false" outlineLevel="0" collapsed="false">
      <c r="A519" s="19" t="s">
        <v>691</v>
      </c>
      <c r="B519" s="20" t="n">
        <v>45976</v>
      </c>
      <c r="C519" s="21" t="s">
        <v>654</v>
      </c>
      <c r="D519" s="21" t="n">
        <v>2025</v>
      </c>
      <c r="E519" s="22" t="s">
        <v>45</v>
      </c>
      <c r="F519" s="19" t="s">
        <v>46</v>
      </c>
      <c r="G519" s="19" t="s">
        <v>79</v>
      </c>
      <c r="H519" s="23" t="n">
        <v>464.18</v>
      </c>
      <c r="I519" s="24"/>
    </row>
    <row r="520" customFormat="false" ht="15" hidden="false" customHeight="false" outlineLevel="0" collapsed="false">
      <c r="A520" s="13" t="s">
        <v>692</v>
      </c>
      <c r="B520" s="14" t="n">
        <v>45976</v>
      </c>
      <c r="C520" s="15" t="s">
        <v>654</v>
      </c>
      <c r="D520" s="15" t="n">
        <v>2025</v>
      </c>
      <c r="E520" s="22" t="s">
        <v>45</v>
      </c>
      <c r="F520" s="13" t="s">
        <v>46</v>
      </c>
      <c r="G520" s="13" t="s">
        <v>77</v>
      </c>
      <c r="H520" s="26" t="n">
        <v>188.21</v>
      </c>
      <c r="I520" s="18"/>
    </row>
    <row r="521" customFormat="false" ht="15" hidden="false" customHeight="false" outlineLevel="0" collapsed="false">
      <c r="A521" s="19" t="s">
        <v>693</v>
      </c>
      <c r="B521" s="20" t="n">
        <v>45977</v>
      </c>
      <c r="C521" s="21" t="s">
        <v>654</v>
      </c>
      <c r="D521" s="21" t="n">
        <v>2025</v>
      </c>
      <c r="E521" s="22" t="s">
        <v>45</v>
      </c>
      <c r="F521" s="19" t="s">
        <v>46</v>
      </c>
      <c r="G521" s="19" t="s">
        <v>77</v>
      </c>
      <c r="H521" s="23" t="n">
        <v>351.21</v>
      </c>
      <c r="I521" s="24"/>
    </row>
    <row r="522" customFormat="false" ht="15" hidden="false" customHeight="false" outlineLevel="0" collapsed="false">
      <c r="A522" s="13" t="s">
        <v>694</v>
      </c>
      <c r="B522" s="14" t="n">
        <v>45979</v>
      </c>
      <c r="C522" s="15" t="s">
        <v>654</v>
      </c>
      <c r="D522" s="15" t="n">
        <v>2025</v>
      </c>
      <c r="E522" s="22" t="s">
        <v>45</v>
      </c>
      <c r="F522" s="13" t="s">
        <v>46</v>
      </c>
      <c r="G522" s="13" t="s">
        <v>47</v>
      </c>
      <c r="H522" s="17" t="n">
        <v>-67.32</v>
      </c>
      <c r="I522" s="18"/>
    </row>
    <row r="523" customFormat="false" ht="15" hidden="false" customHeight="false" outlineLevel="0" collapsed="false">
      <c r="A523" s="19" t="s">
        <v>695</v>
      </c>
      <c r="B523" s="20" t="n">
        <v>45979</v>
      </c>
      <c r="C523" s="21" t="s">
        <v>654</v>
      </c>
      <c r="D523" s="21" t="n">
        <v>2025</v>
      </c>
      <c r="E523" s="22" t="s">
        <v>45</v>
      </c>
      <c r="F523" s="19" t="s">
        <v>46</v>
      </c>
      <c r="G523" s="19" t="s">
        <v>79</v>
      </c>
      <c r="H523" s="23" t="n">
        <v>18.72</v>
      </c>
      <c r="I523" s="24"/>
    </row>
    <row r="524" customFormat="false" ht="15" hidden="false" customHeight="false" outlineLevel="0" collapsed="false">
      <c r="A524" s="13" t="s">
        <v>696</v>
      </c>
      <c r="B524" s="14" t="n">
        <v>45979</v>
      </c>
      <c r="C524" s="15" t="s">
        <v>654</v>
      </c>
      <c r="D524" s="15" t="n">
        <v>2025</v>
      </c>
      <c r="E524" s="16" t="s">
        <v>41</v>
      </c>
      <c r="F524" s="13" t="s">
        <v>87</v>
      </c>
      <c r="G524" s="13" t="s">
        <v>113</v>
      </c>
      <c r="H524" s="17" t="n">
        <v>-576.08</v>
      </c>
      <c r="I524" s="18"/>
    </row>
    <row r="525" customFormat="false" ht="15" hidden="false" customHeight="false" outlineLevel="0" collapsed="false">
      <c r="A525" s="19" t="s">
        <v>697</v>
      </c>
      <c r="B525" s="20" t="n">
        <v>45980</v>
      </c>
      <c r="C525" s="21" t="s">
        <v>654</v>
      </c>
      <c r="D525" s="21" t="n">
        <v>2025</v>
      </c>
      <c r="E525" s="22" t="s">
        <v>45</v>
      </c>
      <c r="F525" s="19" t="s">
        <v>46</v>
      </c>
      <c r="G525" s="19" t="s">
        <v>56</v>
      </c>
      <c r="H525" s="23" t="n">
        <v>6878.02</v>
      </c>
      <c r="I525" s="24"/>
    </row>
    <row r="526" customFormat="false" ht="15" hidden="false" customHeight="false" outlineLevel="0" collapsed="false">
      <c r="A526" s="13" t="s">
        <v>698</v>
      </c>
      <c r="B526" s="14" t="n">
        <v>45980</v>
      </c>
      <c r="C526" s="15" t="s">
        <v>654</v>
      </c>
      <c r="D526" s="15" t="n">
        <v>2025</v>
      </c>
      <c r="E526" s="22" t="s">
        <v>45</v>
      </c>
      <c r="F526" s="13" t="s">
        <v>46</v>
      </c>
      <c r="G526" s="13" t="s">
        <v>79</v>
      </c>
      <c r="H526" s="26" t="n">
        <v>791.14</v>
      </c>
      <c r="I526" s="18"/>
    </row>
    <row r="527" customFormat="false" ht="15" hidden="false" customHeight="false" outlineLevel="0" collapsed="false">
      <c r="A527" s="19" t="s">
        <v>699</v>
      </c>
      <c r="B527" s="20" t="n">
        <v>45981</v>
      </c>
      <c r="C527" s="21" t="s">
        <v>654</v>
      </c>
      <c r="D527" s="21" t="n">
        <v>2025</v>
      </c>
      <c r="E527" s="22" t="s">
        <v>45</v>
      </c>
      <c r="F527" s="19" t="s">
        <v>46</v>
      </c>
      <c r="G527" s="19" t="s">
        <v>47</v>
      </c>
      <c r="H527" s="23" t="n">
        <v>1082.15</v>
      </c>
      <c r="I527" s="24"/>
    </row>
    <row r="528" customFormat="false" ht="15" hidden="false" customHeight="false" outlineLevel="0" collapsed="false">
      <c r="A528" s="13" t="s">
        <v>700</v>
      </c>
      <c r="B528" s="14" t="n">
        <v>45981</v>
      </c>
      <c r="C528" s="15" t="s">
        <v>654</v>
      </c>
      <c r="D528" s="15" t="n">
        <v>2025</v>
      </c>
      <c r="E528" s="16" t="s">
        <v>41</v>
      </c>
      <c r="F528" s="13" t="s">
        <v>49</v>
      </c>
      <c r="G528" s="13" t="s">
        <v>328</v>
      </c>
      <c r="H528" s="17" t="n">
        <v>-9807.57</v>
      </c>
      <c r="I528" s="18"/>
    </row>
    <row r="529" customFormat="false" ht="15" hidden="false" customHeight="false" outlineLevel="0" collapsed="false">
      <c r="A529" s="19" t="s">
        <v>701</v>
      </c>
      <c r="B529" s="20" t="n">
        <v>45982</v>
      </c>
      <c r="C529" s="21" t="s">
        <v>654</v>
      </c>
      <c r="D529" s="21" t="n">
        <v>2025</v>
      </c>
      <c r="E529" s="22" t="s">
        <v>45</v>
      </c>
      <c r="F529" s="19" t="s">
        <v>46</v>
      </c>
      <c r="G529" s="19" t="s">
        <v>47</v>
      </c>
      <c r="H529" s="23" t="n">
        <v>1044.33</v>
      </c>
      <c r="I529" s="24"/>
    </row>
    <row r="530" customFormat="false" ht="15" hidden="false" customHeight="false" outlineLevel="0" collapsed="false">
      <c r="A530" s="13" t="s">
        <v>702</v>
      </c>
      <c r="B530" s="14" t="n">
        <v>45982</v>
      </c>
      <c r="C530" s="15" t="s">
        <v>654</v>
      </c>
      <c r="D530" s="15" t="n">
        <v>2025</v>
      </c>
      <c r="E530" s="22" t="s">
        <v>45</v>
      </c>
      <c r="F530" s="13" t="s">
        <v>46</v>
      </c>
      <c r="G530" s="13" t="s">
        <v>79</v>
      </c>
      <c r="H530" s="26" t="n">
        <v>399.16</v>
      </c>
      <c r="I530" s="18"/>
    </row>
    <row r="531" customFormat="false" ht="15" hidden="false" customHeight="false" outlineLevel="0" collapsed="false">
      <c r="A531" s="19" t="s">
        <v>703</v>
      </c>
      <c r="B531" s="20" t="n">
        <v>45982</v>
      </c>
      <c r="C531" s="21" t="s">
        <v>654</v>
      </c>
      <c r="D531" s="21" t="n">
        <v>2025</v>
      </c>
      <c r="E531" s="16" t="s">
        <v>41</v>
      </c>
      <c r="F531" s="19" t="s">
        <v>67</v>
      </c>
      <c r="G531" s="19" t="s">
        <v>704</v>
      </c>
      <c r="H531" s="25" t="n">
        <v>-161.94</v>
      </c>
      <c r="I531" s="24"/>
    </row>
    <row r="532" customFormat="false" ht="15" hidden="false" customHeight="false" outlineLevel="0" collapsed="false">
      <c r="A532" s="13" t="s">
        <v>705</v>
      </c>
      <c r="B532" s="14" t="n">
        <v>45983</v>
      </c>
      <c r="C532" s="15" t="s">
        <v>654</v>
      </c>
      <c r="D532" s="15" t="n">
        <v>2025</v>
      </c>
      <c r="E532" s="22" t="s">
        <v>45</v>
      </c>
      <c r="F532" s="13" t="s">
        <v>46</v>
      </c>
      <c r="G532" s="13" t="s">
        <v>104</v>
      </c>
      <c r="H532" s="26" t="n">
        <v>140.32</v>
      </c>
      <c r="I532" s="18"/>
    </row>
    <row r="533" customFormat="false" ht="15" hidden="false" customHeight="false" outlineLevel="0" collapsed="false">
      <c r="A533" s="19" t="s">
        <v>706</v>
      </c>
      <c r="B533" s="20" t="n">
        <v>45983</v>
      </c>
      <c r="C533" s="21" t="s">
        <v>654</v>
      </c>
      <c r="D533" s="21" t="n">
        <v>2025</v>
      </c>
      <c r="E533" s="16" t="s">
        <v>41</v>
      </c>
      <c r="F533" s="19" t="s">
        <v>74</v>
      </c>
      <c r="G533" s="19" t="s">
        <v>707</v>
      </c>
      <c r="H533" s="25" t="n">
        <v>-297.68</v>
      </c>
      <c r="I533" s="24"/>
    </row>
    <row r="534" customFormat="false" ht="15" hidden="false" customHeight="false" outlineLevel="0" collapsed="false">
      <c r="A534" s="13" t="s">
        <v>708</v>
      </c>
      <c r="B534" s="14" t="n">
        <v>45985</v>
      </c>
      <c r="C534" s="15" t="s">
        <v>654</v>
      </c>
      <c r="D534" s="15" t="n">
        <v>2025</v>
      </c>
      <c r="E534" s="16" t="s">
        <v>41</v>
      </c>
      <c r="F534" s="13" t="s">
        <v>49</v>
      </c>
      <c r="G534" s="13" t="s">
        <v>139</v>
      </c>
      <c r="H534" s="17" t="n">
        <v>-2601.68</v>
      </c>
      <c r="I534" s="18"/>
    </row>
    <row r="535" customFormat="false" ht="15" hidden="false" customHeight="false" outlineLevel="0" collapsed="false">
      <c r="A535" s="19" t="s">
        <v>709</v>
      </c>
      <c r="B535" s="20" t="n">
        <v>45988</v>
      </c>
      <c r="C535" s="21" t="s">
        <v>654</v>
      </c>
      <c r="D535" s="21" t="n">
        <v>2025</v>
      </c>
      <c r="E535" s="22" t="s">
        <v>45</v>
      </c>
      <c r="F535" s="19" t="s">
        <v>46</v>
      </c>
      <c r="G535" s="19" t="s">
        <v>70</v>
      </c>
      <c r="H535" s="23" t="n">
        <v>185.13</v>
      </c>
      <c r="I535" s="24"/>
    </row>
    <row r="536" customFormat="false" ht="15" hidden="false" customHeight="false" outlineLevel="0" collapsed="false">
      <c r="A536" s="13" t="s">
        <v>710</v>
      </c>
      <c r="B536" s="14" t="n">
        <v>45989</v>
      </c>
      <c r="C536" s="15" t="s">
        <v>654</v>
      </c>
      <c r="D536" s="15" t="n">
        <v>2025</v>
      </c>
      <c r="E536" s="22" t="s">
        <v>45</v>
      </c>
      <c r="F536" s="13" t="s">
        <v>46</v>
      </c>
      <c r="G536" s="13" t="s">
        <v>79</v>
      </c>
      <c r="H536" s="26" t="n">
        <v>2859.6</v>
      </c>
      <c r="I536" s="18"/>
    </row>
    <row r="537" customFormat="false" ht="15" hidden="false" customHeight="false" outlineLevel="0" collapsed="false">
      <c r="A537" s="19" t="s">
        <v>711</v>
      </c>
      <c r="B537" s="20" t="n">
        <v>45989</v>
      </c>
      <c r="C537" s="21" t="s">
        <v>654</v>
      </c>
      <c r="D537" s="21" t="n">
        <v>2025</v>
      </c>
      <c r="E537" s="16" t="s">
        <v>41</v>
      </c>
      <c r="F537" s="19" t="s">
        <v>87</v>
      </c>
      <c r="G537" s="19" t="s">
        <v>130</v>
      </c>
      <c r="H537" s="25" t="n">
        <v>-175.81</v>
      </c>
      <c r="I537" s="24"/>
    </row>
    <row r="538" customFormat="false" ht="15" hidden="false" customHeight="false" outlineLevel="0" collapsed="false">
      <c r="A538" s="13" t="s">
        <v>712</v>
      </c>
      <c r="B538" s="14" t="n">
        <v>45992</v>
      </c>
      <c r="C538" s="15" t="s">
        <v>713</v>
      </c>
      <c r="D538" s="15" t="n">
        <v>2025</v>
      </c>
      <c r="E538" s="16" t="s">
        <v>41</v>
      </c>
      <c r="F538" s="13" t="s">
        <v>42</v>
      </c>
      <c r="G538" s="13" t="s">
        <v>714</v>
      </c>
      <c r="H538" s="17" t="n">
        <v>-1496.2</v>
      </c>
      <c r="I538" s="18"/>
    </row>
    <row r="539" customFormat="false" ht="15" hidden="false" customHeight="false" outlineLevel="0" collapsed="false">
      <c r="A539" s="19" t="s">
        <v>715</v>
      </c>
      <c r="B539" s="20" t="n">
        <v>45992</v>
      </c>
      <c r="C539" s="21" t="s">
        <v>713</v>
      </c>
      <c r="D539" s="21" t="n">
        <v>2025</v>
      </c>
      <c r="E539" s="16" t="s">
        <v>41</v>
      </c>
      <c r="F539" s="19" t="s">
        <v>61</v>
      </c>
      <c r="G539" s="19" t="s">
        <v>716</v>
      </c>
      <c r="H539" s="25" t="n">
        <v>-80.83</v>
      </c>
      <c r="I539" s="24"/>
    </row>
    <row r="540" customFormat="false" ht="15" hidden="false" customHeight="false" outlineLevel="0" collapsed="false">
      <c r="A540" s="13" t="s">
        <v>717</v>
      </c>
      <c r="B540" s="14" t="n">
        <v>45993</v>
      </c>
      <c r="C540" s="15" t="s">
        <v>713</v>
      </c>
      <c r="D540" s="15" t="n">
        <v>2025</v>
      </c>
      <c r="E540" s="22" t="s">
        <v>45</v>
      </c>
      <c r="F540" s="13" t="s">
        <v>46</v>
      </c>
      <c r="G540" s="13" t="s">
        <v>231</v>
      </c>
      <c r="H540" s="26" t="n">
        <v>4485.4</v>
      </c>
      <c r="I540" s="18"/>
    </row>
    <row r="541" customFormat="false" ht="15" hidden="false" customHeight="false" outlineLevel="0" collapsed="false">
      <c r="A541" s="19" t="s">
        <v>718</v>
      </c>
      <c r="B541" s="20" t="n">
        <v>45994</v>
      </c>
      <c r="C541" s="21" t="s">
        <v>713</v>
      </c>
      <c r="D541" s="21" t="n">
        <v>2025</v>
      </c>
      <c r="E541" s="16" t="s">
        <v>41</v>
      </c>
      <c r="F541" s="19" t="s">
        <v>49</v>
      </c>
      <c r="G541" s="19" t="s">
        <v>328</v>
      </c>
      <c r="H541" s="25" t="n">
        <v>-9063.92</v>
      </c>
      <c r="I541" s="24"/>
    </row>
    <row r="542" customFormat="false" ht="15" hidden="false" customHeight="false" outlineLevel="0" collapsed="false">
      <c r="A542" s="13" t="s">
        <v>719</v>
      </c>
      <c r="B542" s="14" t="n">
        <v>45994</v>
      </c>
      <c r="C542" s="15" t="s">
        <v>713</v>
      </c>
      <c r="D542" s="15" t="n">
        <v>2025</v>
      </c>
      <c r="E542" s="16" t="s">
        <v>41</v>
      </c>
      <c r="F542" s="13" t="s">
        <v>83</v>
      </c>
      <c r="G542" s="13" t="s">
        <v>485</v>
      </c>
      <c r="H542" s="17" t="n">
        <v>-465.04</v>
      </c>
      <c r="I542" s="18"/>
    </row>
    <row r="543" customFormat="false" ht="15" hidden="false" customHeight="false" outlineLevel="0" collapsed="false">
      <c r="A543" s="19" t="s">
        <v>720</v>
      </c>
      <c r="B543" s="20" t="n">
        <v>45994</v>
      </c>
      <c r="C543" s="21" t="s">
        <v>713</v>
      </c>
      <c r="D543" s="21" t="n">
        <v>2025</v>
      </c>
      <c r="E543" s="16" t="s">
        <v>41</v>
      </c>
      <c r="F543" s="19" t="s">
        <v>53</v>
      </c>
      <c r="G543" s="19" t="s">
        <v>721</v>
      </c>
      <c r="H543" s="25" t="n">
        <v>-148.94</v>
      </c>
      <c r="I543" s="24"/>
    </row>
    <row r="544" customFormat="false" ht="15" hidden="false" customHeight="false" outlineLevel="0" collapsed="false">
      <c r="A544" s="13" t="s">
        <v>722</v>
      </c>
      <c r="B544" s="14" t="n">
        <v>45995</v>
      </c>
      <c r="C544" s="15" t="s">
        <v>713</v>
      </c>
      <c r="D544" s="15" t="n">
        <v>2025</v>
      </c>
      <c r="E544" s="22" t="s">
        <v>45</v>
      </c>
      <c r="F544" s="13" t="s">
        <v>46</v>
      </c>
      <c r="G544" s="13" t="s">
        <v>56</v>
      </c>
      <c r="H544" s="26" t="n">
        <v>2389.23</v>
      </c>
      <c r="I544" s="18"/>
    </row>
    <row r="545" customFormat="false" ht="15" hidden="false" customHeight="false" outlineLevel="0" collapsed="false">
      <c r="A545" s="19" t="s">
        <v>723</v>
      </c>
      <c r="B545" s="20" t="n">
        <v>45995</v>
      </c>
      <c r="C545" s="21" t="s">
        <v>713</v>
      </c>
      <c r="D545" s="21" t="n">
        <v>2025</v>
      </c>
      <c r="E545" s="16" t="s">
        <v>41</v>
      </c>
      <c r="F545" s="19" t="s">
        <v>74</v>
      </c>
      <c r="G545" s="19" t="s">
        <v>75</v>
      </c>
      <c r="H545" s="25" t="n">
        <v>-301.25</v>
      </c>
      <c r="I545" s="24"/>
    </row>
    <row r="546" customFormat="false" ht="15" hidden="false" customHeight="false" outlineLevel="0" collapsed="false">
      <c r="A546" s="13" t="s">
        <v>724</v>
      </c>
      <c r="B546" s="14" t="n">
        <v>45995</v>
      </c>
      <c r="C546" s="15" t="s">
        <v>713</v>
      </c>
      <c r="D546" s="15" t="n">
        <v>2025</v>
      </c>
      <c r="E546" s="16" t="s">
        <v>41</v>
      </c>
      <c r="F546" s="13" t="s">
        <v>64</v>
      </c>
      <c r="G546" s="13" t="s">
        <v>725</v>
      </c>
      <c r="H546" s="17" t="n">
        <v>-118.45</v>
      </c>
      <c r="I546" s="18"/>
    </row>
    <row r="547" customFormat="false" ht="15" hidden="false" customHeight="false" outlineLevel="0" collapsed="false">
      <c r="A547" s="19" t="s">
        <v>726</v>
      </c>
      <c r="B547" s="20" t="n">
        <v>45996</v>
      </c>
      <c r="C547" s="21" t="s">
        <v>713</v>
      </c>
      <c r="D547" s="21" t="n">
        <v>2025</v>
      </c>
      <c r="E547" s="16" t="s">
        <v>41</v>
      </c>
      <c r="F547" s="19" t="s">
        <v>58</v>
      </c>
      <c r="G547" s="19" t="s">
        <v>727</v>
      </c>
      <c r="H547" s="25" t="n">
        <v>-2177.41</v>
      </c>
      <c r="I547" s="24"/>
    </row>
    <row r="548" customFormat="false" ht="15" hidden="false" customHeight="false" outlineLevel="0" collapsed="false">
      <c r="A548" s="13" t="s">
        <v>728</v>
      </c>
      <c r="B548" s="14" t="n">
        <v>45996</v>
      </c>
      <c r="C548" s="15" t="s">
        <v>713</v>
      </c>
      <c r="D548" s="15" t="n">
        <v>2025</v>
      </c>
      <c r="E548" s="16" t="s">
        <v>41</v>
      </c>
      <c r="F548" s="13" t="s">
        <v>74</v>
      </c>
      <c r="G548" s="13" t="s">
        <v>101</v>
      </c>
      <c r="H548" s="17" t="n">
        <v>-85.49</v>
      </c>
      <c r="I548" s="18"/>
    </row>
    <row r="549" customFormat="false" ht="15" hidden="false" customHeight="false" outlineLevel="0" collapsed="false">
      <c r="A549" s="19" t="s">
        <v>729</v>
      </c>
      <c r="B549" s="20" t="n">
        <v>45996</v>
      </c>
      <c r="C549" s="21" t="s">
        <v>713</v>
      </c>
      <c r="D549" s="21" t="n">
        <v>2025</v>
      </c>
      <c r="E549" s="16" t="s">
        <v>41</v>
      </c>
      <c r="F549" s="19" t="s">
        <v>107</v>
      </c>
      <c r="G549" s="19" t="s">
        <v>141</v>
      </c>
      <c r="H549" s="25" t="n">
        <v>-24.91</v>
      </c>
      <c r="I549" s="24"/>
    </row>
    <row r="550" customFormat="false" ht="15" hidden="false" customHeight="false" outlineLevel="0" collapsed="false">
      <c r="A550" s="13" t="s">
        <v>730</v>
      </c>
      <c r="B550" s="14" t="n">
        <v>45997</v>
      </c>
      <c r="C550" s="15" t="s">
        <v>713</v>
      </c>
      <c r="D550" s="15" t="n">
        <v>2025</v>
      </c>
      <c r="E550" s="16" t="s">
        <v>41</v>
      </c>
      <c r="F550" s="13" t="s">
        <v>83</v>
      </c>
      <c r="G550" s="13" t="s">
        <v>84</v>
      </c>
      <c r="H550" s="17" t="n">
        <v>-140.68</v>
      </c>
      <c r="I550" s="18"/>
    </row>
    <row r="551" customFormat="false" ht="15" hidden="false" customHeight="false" outlineLevel="0" collapsed="false">
      <c r="A551" s="19" t="s">
        <v>731</v>
      </c>
      <c r="B551" s="20" t="n">
        <v>45998</v>
      </c>
      <c r="C551" s="21" t="s">
        <v>713</v>
      </c>
      <c r="D551" s="21" t="n">
        <v>2025</v>
      </c>
      <c r="E551" s="22" t="s">
        <v>45</v>
      </c>
      <c r="F551" s="19" t="s">
        <v>46</v>
      </c>
      <c r="G551" s="19" t="s">
        <v>104</v>
      </c>
      <c r="H551" s="23" t="n">
        <v>278.45</v>
      </c>
      <c r="I551" s="24"/>
    </row>
    <row r="552" customFormat="false" ht="15" hidden="false" customHeight="false" outlineLevel="0" collapsed="false">
      <c r="A552" s="13" t="s">
        <v>732</v>
      </c>
      <c r="B552" s="14" t="n">
        <v>45998</v>
      </c>
      <c r="C552" s="15" t="s">
        <v>713</v>
      </c>
      <c r="D552" s="15" t="n">
        <v>2025</v>
      </c>
      <c r="E552" s="16" t="s">
        <v>41</v>
      </c>
      <c r="F552" s="13" t="s">
        <v>87</v>
      </c>
      <c r="G552" s="13" t="s">
        <v>733</v>
      </c>
      <c r="H552" s="17" t="n">
        <v>-642.14</v>
      </c>
      <c r="I552" s="18"/>
    </row>
    <row r="553" customFormat="false" ht="15" hidden="false" customHeight="false" outlineLevel="0" collapsed="false">
      <c r="A553" s="19" t="s">
        <v>734</v>
      </c>
      <c r="B553" s="20" t="n">
        <v>45999</v>
      </c>
      <c r="C553" s="21" t="s">
        <v>713</v>
      </c>
      <c r="D553" s="21" t="n">
        <v>2025</v>
      </c>
      <c r="E553" s="16" t="s">
        <v>41</v>
      </c>
      <c r="F553" s="19" t="s">
        <v>74</v>
      </c>
      <c r="G553" s="19" t="s">
        <v>90</v>
      </c>
      <c r="H553" s="25" t="n">
        <v>-136.49</v>
      </c>
      <c r="I553" s="24"/>
    </row>
    <row r="554" customFormat="false" ht="15" hidden="false" customHeight="false" outlineLevel="0" collapsed="false">
      <c r="A554" s="13" t="s">
        <v>735</v>
      </c>
      <c r="B554" s="14" t="n">
        <v>46000</v>
      </c>
      <c r="C554" s="15" t="s">
        <v>713</v>
      </c>
      <c r="D554" s="15" t="n">
        <v>2025</v>
      </c>
      <c r="E554" s="22" t="s">
        <v>45</v>
      </c>
      <c r="F554" s="13" t="s">
        <v>46</v>
      </c>
      <c r="G554" s="13" t="s">
        <v>81</v>
      </c>
      <c r="H554" s="26" t="n">
        <v>3910.92</v>
      </c>
      <c r="I554" s="18"/>
    </row>
    <row r="555" customFormat="false" ht="15" hidden="false" customHeight="false" outlineLevel="0" collapsed="false">
      <c r="A555" s="19" t="s">
        <v>736</v>
      </c>
      <c r="B555" s="20" t="n">
        <v>46000</v>
      </c>
      <c r="C555" s="21" t="s">
        <v>713</v>
      </c>
      <c r="D555" s="21" t="n">
        <v>2025</v>
      </c>
      <c r="E555" s="22" t="s">
        <v>45</v>
      </c>
      <c r="F555" s="19" t="s">
        <v>46</v>
      </c>
      <c r="G555" s="19" t="s">
        <v>72</v>
      </c>
      <c r="H555" s="23" t="n">
        <v>1708.43</v>
      </c>
      <c r="I555" s="24"/>
    </row>
    <row r="556" customFormat="false" ht="15" hidden="false" customHeight="false" outlineLevel="0" collapsed="false">
      <c r="A556" s="13" t="s">
        <v>737</v>
      </c>
      <c r="B556" s="14" t="n">
        <v>46001</v>
      </c>
      <c r="C556" s="15" t="s">
        <v>713</v>
      </c>
      <c r="D556" s="15" t="n">
        <v>2025</v>
      </c>
      <c r="E556" s="22" t="s">
        <v>45</v>
      </c>
      <c r="F556" s="13" t="s">
        <v>46</v>
      </c>
      <c r="G556" s="13" t="s">
        <v>98</v>
      </c>
      <c r="H556" s="26" t="n">
        <v>1138.54</v>
      </c>
      <c r="I556" s="18"/>
    </row>
    <row r="557" customFormat="false" ht="15" hidden="false" customHeight="false" outlineLevel="0" collapsed="false">
      <c r="A557" s="19" t="s">
        <v>738</v>
      </c>
      <c r="B557" s="20" t="n">
        <v>46001</v>
      </c>
      <c r="C557" s="21" t="s">
        <v>713</v>
      </c>
      <c r="D557" s="21" t="n">
        <v>2025</v>
      </c>
      <c r="E557" s="22" t="s">
        <v>45</v>
      </c>
      <c r="F557" s="19" t="s">
        <v>46</v>
      </c>
      <c r="G557" s="19" t="s">
        <v>56</v>
      </c>
      <c r="H557" s="23" t="n">
        <v>892.4</v>
      </c>
      <c r="I557" s="24"/>
    </row>
    <row r="558" customFormat="false" ht="15" hidden="false" customHeight="false" outlineLevel="0" collapsed="false">
      <c r="A558" s="13" t="s">
        <v>739</v>
      </c>
      <c r="B558" s="14" t="n">
        <v>46001</v>
      </c>
      <c r="C558" s="15" t="s">
        <v>713</v>
      </c>
      <c r="D558" s="15" t="n">
        <v>2025</v>
      </c>
      <c r="E558" s="22" t="s">
        <v>45</v>
      </c>
      <c r="F558" s="13" t="s">
        <v>46</v>
      </c>
      <c r="G558" s="13" t="s">
        <v>70</v>
      </c>
      <c r="H558" s="26" t="n">
        <v>368.759999999994</v>
      </c>
      <c r="I558" s="18"/>
    </row>
    <row r="559" customFormat="false" ht="15" hidden="false" customHeight="false" outlineLevel="0" collapsed="false">
      <c r="A559" s="19" t="s">
        <v>740</v>
      </c>
      <c r="B559" s="20" t="n">
        <v>46001</v>
      </c>
      <c r="C559" s="21" t="s">
        <v>713</v>
      </c>
      <c r="D559" s="21" t="n">
        <v>2025</v>
      </c>
      <c r="E559" s="16" t="s">
        <v>41</v>
      </c>
      <c r="F559" s="19" t="s">
        <v>92</v>
      </c>
      <c r="G559" s="19" t="s">
        <v>136</v>
      </c>
      <c r="H559" s="25" t="n">
        <v>-121.69</v>
      </c>
      <c r="I559" s="24"/>
    </row>
    <row r="560" customFormat="false" ht="15" hidden="false" customHeight="false" outlineLevel="0" collapsed="false">
      <c r="A560" s="13" t="s">
        <v>741</v>
      </c>
      <c r="B560" s="14" t="n">
        <v>46002</v>
      </c>
      <c r="C560" s="15" t="s">
        <v>713</v>
      </c>
      <c r="D560" s="15" t="n">
        <v>2025</v>
      </c>
      <c r="E560" s="16" t="s">
        <v>41</v>
      </c>
      <c r="F560" s="13" t="s">
        <v>83</v>
      </c>
      <c r="G560" s="13" t="s">
        <v>126</v>
      </c>
      <c r="H560" s="17" t="n">
        <v>-171.45</v>
      </c>
      <c r="I560" s="18"/>
    </row>
    <row r="561" customFormat="false" ht="15" hidden="false" customHeight="false" outlineLevel="0" collapsed="false">
      <c r="A561" s="19" t="s">
        <v>742</v>
      </c>
      <c r="B561" s="20" t="n">
        <v>46003</v>
      </c>
      <c r="C561" s="21" t="s">
        <v>713</v>
      </c>
      <c r="D561" s="21" t="n">
        <v>2025</v>
      </c>
      <c r="E561" s="16" t="s">
        <v>41</v>
      </c>
      <c r="F561" s="19" t="s">
        <v>49</v>
      </c>
      <c r="G561" s="19" t="s">
        <v>299</v>
      </c>
      <c r="H561" s="25" t="n">
        <v>-3743.37</v>
      </c>
      <c r="I561" s="24"/>
    </row>
    <row r="562" customFormat="false" ht="15" hidden="false" customHeight="false" outlineLevel="0" collapsed="false">
      <c r="A562" s="13" t="s">
        <v>743</v>
      </c>
      <c r="B562" s="14" t="n">
        <v>46004</v>
      </c>
      <c r="C562" s="15" t="s">
        <v>713</v>
      </c>
      <c r="D562" s="15" t="n">
        <v>2025</v>
      </c>
      <c r="E562" s="22" t="s">
        <v>45</v>
      </c>
      <c r="F562" s="13" t="s">
        <v>46</v>
      </c>
      <c r="G562" s="13" t="s">
        <v>98</v>
      </c>
      <c r="H562" s="26" t="n">
        <v>268.7</v>
      </c>
      <c r="I562" s="18"/>
    </row>
    <row r="563" customFormat="false" ht="15" hidden="false" customHeight="false" outlineLevel="0" collapsed="false">
      <c r="A563" s="19" t="s">
        <v>744</v>
      </c>
      <c r="B563" s="20" t="n">
        <v>46004</v>
      </c>
      <c r="C563" s="21" t="s">
        <v>713</v>
      </c>
      <c r="D563" s="21" t="n">
        <v>2025</v>
      </c>
      <c r="E563" s="22" t="s">
        <v>45</v>
      </c>
      <c r="F563" s="19" t="s">
        <v>46</v>
      </c>
      <c r="G563" s="19" t="s">
        <v>79</v>
      </c>
      <c r="H563" s="23" t="n">
        <v>297.58</v>
      </c>
      <c r="I563" s="24"/>
    </row>
    <row r="564" customFormat="false" ht="15" hidden="false" customHeight="false" outlineLevel="0" collapsed="false">
      <c r="A564" s="13" t="s">
        <v>745</v>
      </c>
      <c r="B564" s="14" t="n">
        <v>46006</v>
      </c>
      <c r="C564" s="15" t="s">
        <v>713</v>
      </c>
      <c r="D564" s="15" t="n">
        <v>2025</v>
      </c>
      <c r="E564" s="22" t="s">
        <v>45</v>
      </c>
      <c r="F564" s="13" t="s">
        <v>46</v>
      </c>
      <c r="G564" s="13" t="s">
        <v>70</v>
      </c>
      <c r="H564" s="26" t="n">
        <v>246.72</v>
      </c>
      <c r="I564" s="18"/>
    </row>
    <row r="565" customFormat="false" ht="15" hidden="false" customHeight="false" outlineLevel="0" collapsed="false">
      <c r="A565" s="19" t="s">
        <v>746</v>
      </c>
      <c r="B565" s="20" t="n">
        <v>46007</v>
      </c>
      <c r="C565" s="21" t="s">
        <v>713</v>
      </c>
      <c r="D565" s="21" t="n">
        <v>2025</v>
      </c>
      <c r="E565" s="22" t="s">
        <v>45</v>
      </c>
      <c r="F565" s="19" t="s">
        <v>46</v>
      </c>
      <c r="G565" s="19" t="s">
        <v>98</v>
      </c>
      <c r="H565" s="23" t="n">
        <v>3068.05</v>
      </c>
      <c r="I565" s="24"/>
    </row>
    <row r="566" customFormat="false" ht="15" hidden="false" customHeight="false" outlineLevel="0" collapsed="false">
      <c r="A566" s="13" t="s">
        <v>747</v>
      </c>
      <c r="B566" s="14" t="n">
        <v>46007</v>
      </c>
      <c r="C566" s="15" t="s">
        <v>713</v>
      </c>
      <c r="D566" s="15" t="n">
        <v>2025</v>
      </c>
      <c r="E566" s="22" t="s">
        <v>45</v>
      </c>
      <c r="F566" s="13" t="s">
        <v>46</v>
      </c>
      <c r="G566" s="13" t="s">
        <v>77</v>
      </c>
      <c r="H566" s="26" t="n">
        <v>276.6</v>
      </c>
      <c r="I566" s="18"/>
    </row>
    <row r="567" customFormat="false" ht="15" hidden="false" customHeight="false" outlineLevel="0" collapsed="false">
      <c r="A567" s="19" t="s">
        <v>748</v>
      </c>
      <c r="B567" s="20" t="n">
        <v>46008</v>
      </c>
      <c r="C567" s="21" t="s">
        <v>713</v>
      </c>
      <c r="D567" s="21" t="n">
        <v>2025</v>
      </c>
      <c r="E567" s="22" t="s">
        <v>45</v>
      </c>
      <c r="F567" s="19" t="s">
        <v>46</v>
      </c>
      <c r="G567" s="19" t="s">
        <v>79</v>
      </c>
      <c r="H567" s="23" t="n">
        <v>528</v>
      </c>
      <c r="I567" s="24"/>
    </row>
    <row r="568" customFormat="false" ht="15" hidden="false" customHeight="false" outlineLevel="0" collapsed="false">
      <c r="A568" s="13" t="s">
        <v>749</v>
      </c>
      <c r="B568" s="14" t="n">
        <v>46010</v>
      </c>
      <c r="C568" s="15" t="s">
        <v>713</v>
      </c>
      <c r="D568" s="15" t="n">
        <v>2025</v>
      </c>
      <c r="E568" s="22" t="s">
        <v>45</v>
      </c>
      <c r="F568" s="13" t="s">
        <v>46</v>
      </c>
      <c r="G568" s="13" t="s">
        <v>77</v>
      </c>
      <c r="H568" s="26" t="n">
        <v>228.52</v>
      </c>
      <c r="I568" s="18"/>
    </row>
    <row r="569" customFormat="false" ht="15" hidden="false" customHeight="false" outlineLevel="0" collapsed="false">
      <c r="A569" s="19" t="s">
        <v>750</v>
      </c>
      <c r="B569" s="20" t="n">
        <v>46010</v>
      </c>
      <c r="C569" s="21" t="s">
        <v>713</v>
      </c>
      <c r="D569" s="21" t="n">
        <v>2025</v>
      </c>
      <c r="E569" s="16" t="s">
        <v>41</v>
      </c>
      <c r="F569" s="19" t="s">
        <v>67</v>
      </c>
      <c r="G569" s="19" t="s">
        <v>132</v>
      </c>
      <c r="H569" s="25" t="n">
        <v>-76.74</v>
      </c>
      <c r="I569" s="24"/>
    </row>
    <row r="570" customFormat="false" ht="15" hidden="false" customHeight="false" outlineLevel="0" collapsed="false">
      <c r="A570" s="13" t="s">
        <v>751</v>
      </c>
      <c r="B570" s="14" t="n">
        <v>46011</v>
      </c>
      <c r="C570" s="15" t="s">
        <v>713</v>
      </c>
      <c r="D570" s="15" t="n">
        <v>2025</v>
      </c>
      <c r="E570" s="22" t="s">
        <v>45</v>
      </c>
      <c r="F570" s="13" t="s">
        <v>46</v>
      </c>
      <c r="G570" s="13" t="s">
        <v>47</v>
      </c>
      <c r="H570" s="26" t="n">
        <v>1119.58</v>
      </c>
      <c r="I570" s="18"/>
    </row>
    <row r="571" customFormat="false" ht="15" hidden="false" customHeight="false" outlineLevel="0" collapsed="false">
      <c r="A571" s="19" t="s">
        <v>752</v>
      </c>
      <c r="B571" s="20" t="n">
        <v>46011</v>
      </c>
      <c r="C571" s="21" t="s">
        <v>713</v>
      </c>
      <c r="D571" s="21" t="n">
        <v>2025</v>
      </c>
      <c r="E571" s="16" t="s">
        <v>41</v>
      </c>
      <c r="F571" s="19" t="s">
        <v>67</v>
      </c>
      <c r="G571" s="19" t="s">
        <v>226</v>
      </c>
      <c r="H571" s="25" t="n">
        <v>-211.22</v>
      </c>
      <c r="I571" s="24"/>
    </row>
    <row r="572" customFormat="false" ht="15" hidden="false" customHeight="false" outlineLevel="0" collapsed="false">
      <c r="A572" s="13" t="s">
        <v>753</v>
      </c>
      <c r="B572" s="14" t="n">
        <v>46012</v>
      </c>
      <c r="C572" s="15" t="s">
        <v>713</v>
      </c>
      <c r="D572" s="15" t="n">
        <v>2025</v>
      </c>
      <c r="E572" s="16" t="s">
        <v>41</v>
      </c>
      <c r="F572" s="13" t="s">
        <v>67</v>
      </c>
      <c r="G572" s="13" t="s">
        <v>68</v>
      </c>
      <c r="H572" s="17" t="n">
        <v>-77.03</v>
      </c>
      <c r="I572" s="18"/>
    </row>
    <row r="573" customFormat="false" ht="15" hidden="false" customHeight="false" outlineLevel="0" collapsed="false">
      <c r="A573" s="19" t="s">
        <v>754</v>
      </c>
      <c r="B573" s="20" t="n">
        <v>46012</v>
      </c>
      <c r="C573" s="21" t="s">
        <v>713</v>
      </c>
      <c r="D573" s="21" t="n">
        <v>2025</v>
      </c>
      <c r="E573" s="16" t="s">
        <v>41</v>
      </c>
      <c r="F573" s="19" t="s">
        <v>67</v>
      </c>
      <c r="G573" s="19" t="s">
        <v>122</v>
      </c>
      <c r="H573" s="25" t="n">
        <v>-60.24</v>
      </c>
      <c r="I573" s="24"/>
    </row>
    <row r="574" customFormat="false" ht="15" hidden="false" customHeight="false" outlineLevel="0" collapsed="false">
      <c r="A574" s="13" t="s">
        <v>755</v>
      </c>
      <c r="B574" s="14" t="n">
        <v>46012</v>
      </c>
      <c r="C574" s="15" t="s">
        <v>713</v>
      </c>
      <c r="D574" s="15" t="n">
        <v>2025</v>
      </c>
      <c r="E574" s="16" t="s">
        <v>41</v>
      </c>
      <c r="F574" s="13" t="s">
        <v>92</v>
      </c>
      <c r="G574" s="13" t="s">
        <v>134</v>
      </c>
      <c r="H574" s="17" t="n">
        <v>-39.83</v>
      </c>
      <c r="I574" s="18"/>
    </row>
    <row r="575" customFormat="false" ht="15" hidden="false" customHeight="false" outlineLevel="0" collapsed="false">
      <c r="A575" s="19" t="s">
        <v>756</v>
      </c>
      <c r="B575" s="20" t="n">
        <v>46013</v>
      </c>
      <c r="C575" s="21" t="s">
        <v>713</v>
      </c>
      <c r="D575" s="21" t="n">
        <v>2025</v>
      </c>
      <c r="E575" s="22" t="s">
        <v>45</v>
      </c>
      <c r="F575" s="19" t="s">
        <v>46</v>
      </c>
      <c r="G575" s="19" t="s">
        <v>104</v>
      </c>
      <c r="H575" s="23" t="n">
        <v>1096.15</v>
      </c>
      <c r="I575" s="24"/>
    </row>
    <row r="576" customFormat="false" ht="15" hidden="false" customHeight="false" outlineLevel="0" collapsed="false">
      <c r="A576" s="13" t="s">
        <v>757</v>
      </c>
      <c r="B576" s="14" t="n">
        <v>46014</v>
      </c>
      <c r="C576" s="15" t="s">
        <v>713</v>
      </c>
      <c r="D576" s="15" t="n">
        <v>2025</v>
      </c>
      <c r="E576" s="22" t="s">
        <v>45</v>
      </c>
      <c r="F576" s="13" t="s">
        <v>46</v>
      </c>
      <c r="G576" s="13" t="s">
        <v>77</v>
      </c>
      <c r="H576" s="26" t="n">
        <v>179.66</v>
      </c>
      <c r="I576" s="18"/>
    </row>
    <row r="577" customFormat="false" ht="15" hidden="false" customHeight="false" outlineLevel="0" collapsed="false">
      <c r="A577" s="19" t="s">
        <v>758</v>
      </c>
      <c r="B577" s="20" t="n">
        <v>46014</v>
      </c>
      <c r="C577" s="21" t="s">
        <v>713</v>
      </c>
      <c r="D577" s="21" t="n">
        <v>2025</v>
      </c>
      <c r="E577" s="16" t="s">
        <v>41</v>
      </c>
      <c r="F577" s="19" t="s">
        <v>49</v>
      </c>
      <c r="G577" s="19" t="s">
        <v>50</v>
      </c>
      <c r="H577" s="25" t="n">
        <v>-2528.16</v>
      </c>
      <c r="I577" s="24"/>
    </row>
    <row r="578" customFormat="false" ht="15" hidden="false" customHeight="false" outlineLevel="0" collapsed="false">
      <c r="A578" s="13" t="s">
        <v>759</v>
      </c>
      <c r="B578" s="14" t="n">
        <v>46016</v>
      </c>
      <c r="C578" s="15" t="s">
        <v>713</v>
      </c>
      <c r="D578" s="15" t="n">
        <v>2025</v>
      </c>
      <c r="E578" s="22" t="s">
        <v>45</v>
      </c>
      <c r="F578" s="13" t="s">
        <v>46</v>
      </c>
      <c r="G578" s="13" t="s">
        <v>98</v>
      </c>
      <c r="H578" s="26" t="n">
        <v>6874.76</v>
      </c>
      <c r="I578" s="18"/>
    </row>
    <row r="579" customFormat="false" ht="15" hidden="false" customHeight="false" outlineLevel="0" collapsed="false">
      <c r="A579" s="19" t="s">
        <v>760</v>
      </c>
      <c r="B579" s="20" t="n">
        <v>46016</v>
      </c>
      <c r="C579" s="21" t="s">
        <v>713</v>
      </c>
      <c r="D579" s="21" t="n">
        <v>2025</v>
      </c>
      <c r="E579" s="22" t="s">
        <v>45</v>
      </c>
      <c r="F579" s="19" t="s">
        <v>46</v>
      </c>
      <c r="G579" s="19" t="s">
        <v>231</v>
      </c>
      <c r="H579" s="23" t="n">
        <v>1474.8</v>
      </c>
      <c r="I579" s="24"/>
    </row>
    <row r="580" customFormat="false" ht="15" hidden="false" customHeight="false" outlineLevel="0" collapsed="false">
      <c r="A580" s="13" t="s">
        <v>761</v>
      </c>
      <c r="B580" s="14" t="n">
        <v>46016</v>
      </c>
      <c r="C580" s="15" t="s">
        <v>713</v>
      </c>
      <c r="D580" s="15" t="n">
        <v>2025</v>
      </c>
      <c r="E580" s="16" t="s">
        <v>41</v>
      </c>
      <c r="F580" s="13" t="s">
        <v>83</v>
      </c>
      <c r="G580" s="13" t="s">
        <v>96</v>
      </c>
      <c r="H580" s="17" t="n">
        <v>-152.99</v>
      </c>
      <c r="I580" s="18"/>
    </row>
    <row r="581" customFormat="false" ht="15" hidden="false" customHeight="false" outlineLevel="0" collapsed="false">
      <c r="A581" s="19" t="s">
        <v>762</v>
      </c>
      <c r="B581" s="20" t="n">
        <v>46016</v>
      </c>
      <c r="C581" s="21" t="s">
        <v>713</v>
      </c>
      <c r="D581" s="21" t="n">
        <v>2025</v>
      </c>
      <c r="E581" s="16" t="s">
        <v>41</v>
      </c>
      <c r="F581" s="19" t="s">
        <v>107</v>
      </c>
      <c r="G581" s="19" t="s">
        <v>120</v>
      </c>
      <c r="H581" s="25" t="n">
        <v>-81.97</v>
      </c>
      <c r="I581" s="24"/>
    </row>
    <row r="582" customFormat="false" ht="15" hidden="false" customHeight="false" outlineLevel="0" collapsed="false">
      <c r="A582" s="13" t="s">
        <v>763</v>
      </c>
      <c r="B582" s="14" t="n">
        <v>46017</v>
      </c>
      <c r="C582" s="15" t="s">
        <v>713</v>
      </c>
      <c r="D582" s="15" t="n">
        <v>2025</v>
      </c>
      <c r="E582" s="22" t="s">
        <v>45</v>
      </c>
      <c r="F582" s="13" t="s">
        <v>46</v>
      </c>
      <c r="G582" s="13" t="s">
        <v>56</v>
      </c>
      <c r="H582" s="26" t="n">
        <v>456.44</v>
      </c>
      <c r="I582" s="18"/>
    </row>
    <row r="583" customFormat="false" ht="15" hidden="false" customHeight="false" outlineLevel="0" collapsed="false">
      <c r="A583" s="19" t="s">
        <v>764</v>
      </c>
      <c r="B583" s="20" t="n">
        <v>46018</v>
      </c>
      <c r="C583" s="21" t="s">
        <v>713</v>
      </c>
      <c r="D583" s="21" t="n">
        <v>2025</v>
      </c>
      <c r="E583" s="16" t="s">
        <v>41</v>
      </c>
      <c r="F583" s="19" t="s">
        <v>49</v>
      </c>
      <c r="G583" s="19" t="s">
        <v>139</v>
      </c>
      <c r="H583" s="25" t="n">
        <v>-1753.18</v>
      </c>
      <c r="I583" s="24"/>
    </row>
    <row r="584" customFormat="false" ht="15" hidden="false" customHeight="false" outlineLevel="0" collapsed="false">
      <c r="A584" s="13" t="s">
        <v>765</v>
      </c>
      <c r="B584" s="14" t="n">
        <v>46019</v>
      </c>
      <c r="C584" s="15" t="s">
        <v>713</v>
      </c>
      <c r="D584" s="15" t="n">
        <v>2025</v>
      </c>
      <c r="E584" s="22" t="s">
        <v>45</v>
      </c>
      <c r="F584" s="13" t="s">
        <v>46</v>
      </c>
      <c r="G584" s="13" t="s">
        <v>47</v>
      </c>
      <c r="H584" s="26" t="n">
        <v>212.31</v>
      </c>
      <c r="I584" s="1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3" min="2" style="0" width="10"/>
    <col collapsed="false" customWidth="true" hidden="false" outlineLevel="0" max="14" min="14" style="0" width="12"/>
  </cols>
  <sheetData>
    <row r="1" customFormat="false" ht="27.75" hidden="false" customHeight="true" outlineLevel="0" collapsed="false">
      <c r="A1" s="27" t="s">
        <v>766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customFormat="false" ht="19.5" hidden="false" customHeight="true" outlineLevel="0" collapsed="false">
      <c r="A2" s="3"/>
      <c r="B2" s="3" t="s">
        <v>40</v>
      </c>
      <c r="C2" s="3" t="s">
        <v>147</v>
      </c>
      <c r="D2" s="3" t="s">
        <v>204</v>
      </c>
      <c r="E2" s="3" t="s">
        <v>267</v>
      </c>
      <c r="F2" s="3" t="s">
        <v>325</v>
      </c>
      <c r="G2" s="3" t="s">
        <v>379</v>
      </c>
      <c r="H2" s="3" t="s">
        <v>434</v>
      </c>
      <c r="I2" s="3" t="s">
        <v>487</v>
      </c>
      <c r="J2" s="3" t="s">
        <v>549</v>
      </c>
      <c r="K2" s="3" t="s">
        <v>603</v>
      </c>
      <c r="L2" s="3" t="s">
        <v>654</v>
      </c>
      <c r="M2" s="3" t="s">
        <v>713</v>
      </c>
      <c r="N2" s="3" t="s">
        <v>767</v>
      </c>
    </row>
    <row r="3" customFormat="false" ht="18" hidden="false" customHeight="true" outlineLevel="0" collapsed="false">
      <c r="A3" s="28" t="s">
        <v>768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</row>
    <row r="4" customFormat="false" ht="18" hidden="false" customHeight="true" outlineLevel="0" collapsed="false">
      <c r="A4" s="30" t="s">
        <v>769</v>
      </c>
      <c r="B4" s="31" t="n">
        <v>18200</v>
      </c>
      <c r="C4" s="31" t="n">
        <v>16800</v>
      </c>
      <c r="D4" s="31" t="n">
        <v>19500</v>
      </c>
      <c r="E4" s="31" t="n">
        <v>21000</v>
      </c>
      <c r="F4" s="31" t="n">
        <v>20300</v>
      </c>
      <c r="G4" s="31" t="n">
        <v>17800</v>
      </c>
      <c r="H4" s="31" t="n">
        <v>16200</v>
      </c>
      <c r="I4" s="31" t="n">
        <v>15900</v>
      </c>
      <c r="J4" s="31" t="n">
        <v>22400</v>
      </c>
      <c r="K4" s="31" t="n">
        <v>24600</v>
      </c>
      <c r="L4" s="31" t="n">
        <v>28900</v>
      </c>
      <c r="M4" s="31" t="n">
        <v>31500</v>
      </c>
      <c r="N4" s="32" t="n">
        <f aca="false">SUM(B4:M4)</f>
        <v>253100</v>
      </c>
    </row>
    <row r="5" customFormat="false" ht="7.5" hidden="false" customHeight="true" outlineLevel="0" collapsed="false"/>
    <row r="6" customFormat="false" ht="18" hidden="false" customHeight="true" outlineLevel="0" collapsed="false">
      <c r="A6" s="28" t="s">
        <v>770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</row>
    <row r="7" customFormat="false" ht="18" hidden="false" customHeight="true" outlineLevel="0" collapsed="false">
      <c r="A7" s="33" t="s">
        <v>771</v>
      </c>
      <c r="B7" s="34" t="n">
        <v>13178.25</v>
      </c>
      <c r="C7" s="34" t="n">
        <v>11126</v>
      </c>
      <c r="D7" s="34" t="n">
        <v>13215.54</v>
      </c>
      <c r="E7" s="34" t="n">
        <v>14178.29</v>
      </c>
      <c r="F7" s="34" t="n">
        <v>21230.8</v>
      </c>
      <c r="G7" s="34" t="n">
        <v>17810.37</v>
      </c>
      <c r="H7" s="34" t="n">
        <v>11307.38</v>
      </c>
      <c r="I7" s="34" t="n">
        <v>14326.84</v>
      </c>
      <c r="J7" s="34" t="n">
        <v>18658.84</v>
      </c>
      <c r="K7" s="34" t="n">
        <v>12883.53</v>
      </c>
      <c r="L7" s="34" t="n">
        <v>19419.09</v>
      </c>
      <c r="M7" s="34" t="n">
        <v>17088.63</v>
      </c>
      <c r="N7" s="35" t="n">
        <f aca="false">SUM(B7:M7)</f>
        <v>184423.56</v>
      </c>
    </row>
    <row r="8" customFormat="false" ht="18" hidden="false" customHeight="true" outlineLevel="0" collapsed="false">
      <c r="A8" s="36" t="s">
        <v>772</v>
      </c>
      <c r="B8" s="37" t="n">
        <v>1483.74</v>
      </c>
      <c r="C8" s="37" t="n">
        <v>1494.67</v>
      </c>
      <c r="D8" s="37" t="n">
        <v>1485.07</v>
      </c>
      <c r="E8" s="37" t="n">
        <v>1496.51</v>
      </c>
      <c r="F8" s="37" t="n">
        <v>1475.04</v>
      </c>
      <c r="G8" s="37" t="n">
        <v>1491.29</v>
      </c>
      <c r="H8" s="37" t="n">
        <v>1484.39</v>
      </c>
      <c r="I8" s="37" t="n">
        <v>1499.38</v>
      </c>
      <c r="J8" s="37" t="n">
        <v>1470.49</v>
      </c>
      <c r="K8" s="37" t="n">
        <v>1475.96</v>
      </c>
      <c r="L8" s="37" t="n">
        <v>1488.75</v>
      </c>
      <c r="M8" s="37" t="n">
        <v>1496.2</v>
      </c>
      <c r="N8" s="38" t="n">
        <f aca="false">SUM(B8:M8)</f>
        <v>17841.49</v>
      </c>
    </row>
    <row r="9" customFormat="false" ht="18" hidden="false" customHeight="true" outlineLevel="0" collapsed="false">
      <c r="A9" s="33" t="s">
        <v>773</v>
      </c>
      <c r="B9" s="34" t="n">
        <v>2226.84</v>
      </c>
      <c r="C9" s="34" t="n">
        <v>2215.26</v>
      </c>
      <c r="D9" s="34" t="n">
        <v>2164.12</v>
      </c>
      <c r="E9" s="34" t="n">
        <v>2200.98</v>
      </c>
      <c r="F9" s="34" t="n">
        <v>2167.94</v>
      </c>
      <c r="G9" s="34" t="n">
        <v>2185.95</v>
      </c>
      <c r="H9" s="34" t="n">
        <v>2162.61</v>
      </c>
      <c r="I9" s="34" t="n">
        <v>2195.3</v>
      </c>
      <c r="J9" s="34" t="n">
        <v>2236.13</v>
      </c>
      <c r="K9" s="34" t="n">
        <v>2203.91</v>
      </c>
      <c r="L9" s="34" t="n">
        <v>2206.86</v>
      </c>
      <c r="M9" s="34" t="n">
        <v>2177.41</v>
      </c>
      <c r="N9" s="35" t="n">
        <f aca="false">SUM(B9:M9)</f>
        <v>26343.31</v>
      </c>
    </row>
    <row r="10" customFormat="false" ht="18" hidden="false" customHeight="true" outlineLevel="0" collapsed="false">
      <c r="A10" s="36" t="s">
        <v>774</v>
      </c>
      <c r="B10" s="37" t="n">
        <v>836.31</v>
      </c>
      <c r="C10" s="37" t="n">
        <v>475.64</v>
      </c>
      <c r="D10" s="37" t="n">
        <v>676.36</v>
      </c>
      <c r="E10" s="37" t="n">
        <v>455.68</v>
      </c>
      <c r="F10" s="37" t="n">
        <v>574.93</v>
      </c>
      <c r="G10" s="37" t="n">
        <v>786.52</v>
      </c>
      <c r="H10" s="37" t="n">
        <v>927.21</v>
      </c>
      <c r="I10" s="37" t="n">
        <v>821.09</v>
      </c>
      <c r="J10" s="37" t="n">
        <v>879.57</v>
      </c>
      <c r="K10" s="37" t="n">
        <v>474.89</v>
      </c>
      <c r="L10" s="37" t="n">
        <v>636.24</v>
      </c>
      <c r="M10" s="37" t="n">
        <v>930.16</v>
      </c>
      <c r="N10" s="38" t="n">
        <f aca="false">SUM(B10:M10)</f>
        <v>8474.6</v>
      </c>
    </row>
    <row r="11" customFormat="false" ht="18" hidden="false" customHeight="true" outlineLevel="0" collapsed="false">
      <c r="A11" s="33" t="s">
        <v>775</v>
      </c>
      <c r="B11" s="34" t="n">
        <v>1285.53</v>
      </c>
      <c r="C11" s="34" t="n">
        <v>580.96</v>
      </c>
      <c r="D11" s="34" t="n">
        <v>1099.29</v>
      </c>
      <c r="E11" s="34" t="n">
        <v>1020.41</v>
      </c>
      <c r="F11" s="34" t="n">
        <v>1061.77</v>
      </c>
      <c r="G11" s="34" t="n">
        <v>1289.98</v>
      </c>
      <c r="H11" s="34" t="n">
        <v>1176.57</v>
      </c>
      <c r="I11" s="34" t="n">
        <v>808.03</v>
      </c>
      <c r="J11" s="34" t="n">
        <v>1178.19</v>
      </c>
      <c r="K11" s="34" t="n">
        <v>732.94</v>
      </c>
      <c r="L11" s="34" t="n">
        <v>897.26</v>
      </c>
      <c r="M11" s="34" t="n">
        <v>642.14</v>
      </c>
      <c r="N11" s="35" t="n">
        <f aca="false">SUM(B11:M11)</f>
        <v>11773.07</v>
      </c>
    </row>
    <row r="12" customFormat="false" ht="18" hidden="false" customHeight="true" outlineLevel="0" collapsed="false">
      <c r="A12" s="36" t="s">
        <v>776</v>
      </c>
      <c r="B12" s="37" t="n">
        <v>505.93</v>
      </c>
      <c r="C12" s="37" t="n">
        <v>557.75</v>
      </c>
      <c r="D12" s="37" t="n">
        <v>423.86</v>
      </c>
      <c r="E12" s="37" t="n">
        <v>310.91</v>
      </c>
      <c r="F12" s="37" t="n">
        <v>284.09</v>
      </c>
      <c r="G12" s="37" t="n">
        <v>456.73</v>
      </c>
      <c r="H12" s="37" t="n">
        <v>473.07</v>
      </c>
      <c r="I12" s="37" t="n">
        <v>269.18</v>
      </c>
      <c r="J12" s="37" t="n">
        <v>326.53</v>
      </c>
      <c r="K12" s="37" t="n">
        <v>580.41</v>
      </c>
      <c r="L12" s="37" t="n">
        <v>297.68</v>
      </c>
      <c r="M12" s="37" t="n">
        <v>523.23</v>
      </c>
      <c r="N12" s="38" t="n">
        <f aca="false">SUM(B12:M12)</f>
        <v>5009.37</v>
      </c>
    </row>
    <row r="13" customFormat="false" ht="18" hidden="false" customHeight="true" outlineLevel="0" collapsed="false">
      <c r="A13" s="33" t="s">
        <v>777</v>
      </c>
      <c r="B13" s="34" t="n">
        <v>156.94</v>
      </c>
      <c r="C13" s="34" t="n">
        <v>78.09</v>
      </c>
      <c r="D13" s="34" t="n">
        <v>104.82</v>
      </c>
      <c r="E13" s="34" t="n">
        <v>90.85</v>
      </c>
      <c r="F13" s="34" t="n">
        <v>108</v>
      </c>
      <c r="G13" s="34" t="n">
        <v>154.55</v>
      </c>
      <c r="H13" s="34" t="n">
        <v>179.84</v>
      </c>
      <c r="I13" s="34" t="n">
        <v>211.9</v>
      </c>
      <c r="J13" s="34" t="n">
        <v>86.23</v>
      </c>
      <c r="K13" s="34" t="n">
        <v>122.21</v>
      </c>
      <c r="L13" s="34" t="n">
        <v>144.68</v>
      </c>
      <c r="M13" s="34" t="n">
        <v>106.88</v>
      </c>
      <c r="N13" s="35" t="n">
        <f aca="false">SUM(B13:M13)</f>
        <v>1544.99</v>
      </c>
    </row>
    <row r="14" customFormat="false" ht="18" hidden="false" customHeight="true" outlineLevel="0" collapsed="false">
      <c r="A14" s="36" t="s">
        <v>778</v>
      </c>
      <c r="B14" s="37" t="n">
        <v>78.6</v>
      </c>
      <c r="C14" s="37" t="n">
        <v>81.08</v>
      </c>
      <c r="D14" s="37" t="n">
        <v>80.58</v>
      </c>
      <c r="E14" s="37" t="n">
        <v>80.24</v>
      </c>
      <c r="F14" s="37" t="n">
        <v>79.12</v>
      </c>
      <c r="G14" s="37" t="n">
        <v>79.38</v>
      </c>
      <c r="H14" s="37" t="n">
        <v>80.6</v>
      </c>
      <c r="I14" s="37" t="n">
        <v>81.49</v>
      </c>
      <c r="J14" s="37" t="n">
        <v>78.51</v>
      </c>
      <c r="K14" s="37" t="n">
        <v>80.17</v>
      </c>
      <c r="L14" s="37" t="n">
        <v>78.98</v>
      </c>
      <c r="M14" s="37" t="n">
        <v>80.83</v>
      </c>
      <c r="N14" s="38" t="n">
        <f aca="false">SUM(B14:M14)</f>
        <v>959.58</v>
      </c>
    </row>
    <row r="15" customFormat="false" ht="18" hidden="false" customHeight="true" outlineLevel="0" collapsed="false">
      <c r="A15" s="33" t="s">
        <v>779</v>
      </c>
      <c r="B15" s="34" t="n">
        <v>120.46</v>
      </c>
      <c r="C15" s="34" t="n">
        <v>122.05</v>
      </c>
      <c r="D15" s="34" t="n">
        <v>119.3</v>
      </c>
      <c r="E15" s="34" t="n">
        <v>119.97</v>
      </c>
      <c r="F15" s="34" t="n">
        <v>121.35</v>
      </c>
      <c r="G15" s="34" t="n">
        <v>118.18</v>
      </c>
      <c r="H15" s="34" t="n">
        <v>122.12</v>
      </c>
      <c r="I15" s="34" t="n">
        <v>121.77</v>
      </c>
      <c r="J15" s="34" t="n">
        <v>121.12</v>
      </c>
      <c r="K15" s="34" t="n">
        <v>118.64</v>
      </c>
      <c r="L15" s="34" t="n">
        <v>120.32</v>
      </c>
      <c r="M15" s="34" t="n">
        <v>118.45</v>
      </c>
      <c r="N15" s="35" t="n">
        <f aca="false">SUM(B15:M15)</f>
        <v>1443.73</v>
      </c>
    </row>
    <row r="16" customFormat="false" ht="18" hidden="false" customHeight="true" outlineLevel="0" collapsed="false">
      <c r="A16" s="36" t="s">
        <v>780</v>
      </c>
      <c r="B16" s="37" t="n">
        <v>324.64</v>
      </c>
      <c r="C16" s="37" t="n">
        <v>241.28</v>
      </c>
      <c r="D16" s="37" t="n">
        <v>418.96</v>
      </c>
      <c r="E16" s="37" t="n">
        <v>224.78</v>
      </c>
      <c r="F16" s="37" t="n">
        <v>212.83</v>
      </c>
      <c r="G16" s="37" t="n">
        <v>308.42</v>
      </c>
      <c r="H16" s="37" t="n">
        <v>411.24</v>
      </c>
      <c r="I16" s="37" t="n">
        <v>186.13</v>
      </c>
      <c r="J16" s="37" t="n">
        <v>277.73</v>
      </c>
      <c r="K16" s="37" t="n">
        <v>346.96</v>
      </c>
      <c r="L16" s="37" t="n">
        <v>161.94</v>
      </c>
      <c r="M16" s="37" t="n">
        <v>425.23</v>
      </c>
      <c r="N16" s="38" t="n">
        <f aca="false">SUM(B16:M16)</f>
        <v>3540.14</v>
      </c>
    </row>
    <row r="17" customFormat="false" ht="18" hidden="false" customHeight="true" outlineLevel="0" collapsed="false">
      <c r="A17" s="33" t="s">
        <v>781</v>
      </c>
      <c r="B17" s="34" t="n">
        <v>152.31</v>
      </c>
      <c r="C17" s="34" t="n">
        <v>152.41</v>
      </c>
      <c r="D17" s="34" t="n">
        <v>152.29</v>
      </c>
      <c r="E17" s="34" t="n">
        <v>151.62</v>
      </c>
      <c r="F17" s="34" t="n">
        <v>152.04</v>
      </c>
      <c r="G17" s="34" t="n">
        <v>151.43</v>
      </c>
      <c r="H17" s="34" t="n">
        <v>148.37</v>
      </c>
      <c r="I17" s="34" t="n">
        <v>147.09</v>
      </c>
      <c r="J17" s="34" t="n">
        <v>150.19</v>
      </c>
      <c r="K17" s="34" t="n">
        <v>152.93</v>
      </c>
      <c r="L17" s="34" t="n">
        <v>152.83</v>
      </c>
      <c r="M17" s="34" t="n">
        <v>148.94</v>
      </c>
      <c r="N17" s="35" t="n">
        <f aca="false">SUM(B17:M17)</f>
        <v>1812.45</v>
      </c>
    </row>
    <row r="18" customFormat="false" ht="18" hidden="false" customHeight="true" outlineLevel="0" collapsed="false">
      <c r="A18" s="36" t="s">
        <v>782</v>
      </c>
      <c r="B18" s="37" t="n">
        <v>188.73</v>
      </c>
      <c r="C18" s="37" t="n">
        <v>254.47</v>
      </c>
      <c r="D18" s="37" t="n">
        <v>166.47</v>
      </c>
      <c r="E18" s="37" t="n">
        <v>255.39</v>
      </c>
      <c r="F18" s="37" t="n">
        <v>154.48</v>
      </c>
      <c r="G18" s="37" t="n">
        <v>227.71</v>
      </c>
      <c r="H18" s="37" t="n">
        <v>143.98</v>
      </c>
      <c r="I18" s="37" t="n">
        <v>275.78</v>
      </c>
      <c r="J18" s="37" t="n">
        <v>169.89</v>
      </c>
      <c r="K18" s="37" t="n">
        <v>219.1</v>
      </c>
      <c r="L18" s="37" t="n">
        <v>158.59</v>
      </c>
      <c r="M18" s="37" t="n">
        <v>161.52</v>
      </c>
      <c r="N18" s="38" t="n">
        <f aca="false">SUM(B18:M18)</f>
        <v>2376.11</v>
      </c>
    </row>
    <row r="19" customFormat="false" ht="7.5" hidden="false" customHeight="true" outlineLevel="0" collapsed="false"/>
    <row r="20" customFormat="false" ht="18" hidden="false" customHeight="true" outlineLevel="0" collapsed="false">
      <c r="A20" s="39" t="s">
        <v>783</v>
      </c>
      <c r="B20" s="40" t="n">
        <f aca="false">SUM(B7:B18)</f>
        <v>20538.28</v>
      </c>
      <c r="C20" s="40" t="n">
        <f aca="false">SUM(C7:C18)</f>
        <v>17379.66</v>
      </c>
      <c r="D20" s="40" t="n">
        <f aca="false">SUM(D7:D18)</f>
        <v>20106.66</v>
      </c>
      <c r="E20" s="40" t="n">
        <f aca="false">SUM(E7:E18)</f>
        <v>20585.63</v>
      </c>
      <c r="F20" s="40" t="n">
        <f aca="false">SUM(F7:F18)</f>
        <v>27622.39</v>
      </c>
      <c r="G20" s="40" t="n">
        <f aca="false">SUM(G7:G18)</f>
        <v>25060.51</v>
      </c>
      <c r="H20" s="40" t="n">
        <f aca="false">SUM(H7:H18)</f>
        <v>18617.38</v>
      </c>
      <c r="I20" s="40" t="n">
        <f aca="false">SUM(I7:I18)</f>
        <v>20943.98</v>
      </c>
      <c r="J20" s="40" t="n">
        <f aca="false">SUM(J7:J18)</f>
        <v>25633.42</v>
      </c>
      <c r="K20" s="40" t="n">
        <f aca="false">SUM(K7:K18)</f>
        <v>19391.65</v>
      </c>
      <c r="L20" s="40" t="n">
        <f aca="false">SUM(L7:L18)</f>
        <v>25763.22</v>
      </c>
      <c r="M20" s="40" t="n">
        <f aca="false">SUM(M7:M18)</f>
        <v>23899.62</v>
      </c>
      <c r="N20" s="40" t="n">
        <f aca="false">SUM(N7:N18)</f>
        <v>265542.4</v>
      </c>
    </row>
    <row r="21" customFormat="false" ht="7.5" hidden="false" customHeight="true" outlineLevel="0" collapsed="false"/>
    <row r="22" customFormat="false" ht="18" hidden="false" customHeight="true" outlineLevel="0" collapsed="false">
      <c r="A22" s="41" t="s">
        <v>784</v>
      </c>
      <c r="B22" s="32" t="n">
        <f aca="false">B4-B20</f>
        <v>-2338.28</v>
      </c>
      <c r="C22" s="32" t="n">
        <f aca="false">C4-C20</f>
        <v>-579.66</v>
      </c>
      <c r="D22" s="32" t="n">
        <f aca="false">D4-D20</f>
        <v>-606.66</v>
      </c>
      <c r="E22" s="32" t="n">
        <f aca="false">E4-E20</f>
        <v>414.369999999999</v>
      </c>
      <c r="F22" s="32" t="n">
        <f aca="false">F4-F20</f>
        <v>-7322.39</v>
      </c>
      <c r="G22" s="32" t="n">
        <f aca="false">G4-G20</f>
        <v>-7260.51</v>
      </c>
      <c r="H22" s="32" t="n">
        <f aca="false">H4-H20</f>
        <v>-2417.38</v>
      </c>
      <c r="I22" s="32" t="n">
        <f aca="false">I4-I20</f>
        <v>-5043.98</v>
      </c>
      <c r="J22" s="32" t="n">
        <f aca="false">J4-J20</f>
        <v>-3233.42</v>
      </c>
      <c r="K22" s="32" t="n">
        <f aca="false">K4-K20</f>
        <v>5208.35</v>
      </c>
      <c r="L22" s="32" t="n">
        <f aca="false">L4-L20</f>
        <v>3136.78</v>
      </c>
      <c r="M22" s="32" t="n">
        <f aca="false">M4-M20</f>
        <v>7600.38</v>
      </c>
      <c r="N22" s="32" t="n">
        <f aca="false">N4-N20</f>
        <v>-12442.4</v>
      </c>
    </row>
    <row r="23" customFormat="false" ht="18" hidden="false" customHeight="true" outlineLevel="0" collapsed="false">
      <c r="A23" s="42" t="s">
        <v>785</v>
      </c>
      <c r="B23" s="43" t="n">
        <f aca="false">IF(B4=0,0,B22/B4)</f>
        <v>-0.128476923076923</v>
      </c>
      <c r="C23" s="43" t="n">
        <f aca="false">IF(C4=0,0,C22/C4)</f>
        <v>-0.0345035714285714</v>
      </c>
      <c r="D23" s="43" t="n">
        <f aca="false">IF(D4=0,0,D22/D4)</f>
        <v>-0.0311107692307692</v>
      </c>
      <c r="E23" s="43" t="n">
        <f aca="false">IF(E4=0,0,E22/E4)</f>
        <v>0.0197319047619047</v>
      </c>
      <c r="F23" s="43" t="n">
        <f aca="false">IF(F4=0,0,F22/F4)</f>
        <v>-0.360708866995074</v>
      </c>
      <c r="G23" s="43" t="n">
        <f aca="false">IF(G4=0,0,G22/G4)</f>
        <v>-0.407893820224719</v>
      </c>
      <c r="H23" s="43" t="n">
        <f aca="false">IF(H4=0,0,H22/H4)</f>
        <v>-0.149220987654321</v>
      </c>
      <c r="I23" s="43" t="n">
        <f aca="false">IF(I4=0,0,I22/I4)</f>
        <v>-0.317231446540881</v>
      </c>
      <c r="J23" s="43" t="n">
        <f aca="false">IF(J4=0,0,J22/J4)</f>
        <v>-0.144349107142857</v>
      </c>
      <c r="K23" s="43" t="n">
        <f aca="false">IF(K4=0,0,K22/K4)</f>
        <v>0.211721544715447</v>
      </c>
      <c r="L23" s="43" t="n">
        <f aca="false">IF(L4=0,0,L22/L4)</f>
        <v>0.108539100346021</v>
      </c>
      <c r="M23" s="43" t="n">
        <f aca="false">IF(M4=0,0,M22/M4)</f>
        <v>0.241281904761905</v>
      </c>
      <c r="N23" s="43" t="n">
        <f aca="false">IF(N4=0,0,N22/N4)</f>
        <v>-0.0491600158040299</v>
      </c>
    </row>
    <row r="24" customFormat="false" ht="7.5" hidden="false" customHeight="true" outlineLevel="0" collapsed="false"/>
    <row r="25" customFormat="false" ht="18" hidden="false" customHeight="true" outlineLevel="0" collapsed="false">
      <c r="A25" s="44" t="s">
        <v>786</v>
      </c>
      <c r="B25" s="45" t="n">
        <v>12500</v>
      </c>
      <c r="C25" s="46" t="n">
        <f aca="false">B25+B27</f>
        <v>22661.72</v>
      </c>
      <c r="D25" s="46" t="n">
        <f aca="false">C25+C27</f>
        <v>44743.78</v>
      </c>
      <c r="E25" s="46" t="n">
        <f aca="false">D25+D27</f>
        <v>88880.9</v>
      </c>
      <c r="F25" s="46" t="n">
        <f aca="false">E25+E27</f>
        <v>178176.17</v>
      </c>
      <c r="G25" s="46" t="n">
        <f aca="false">F25+F27</f>
        <v>349029.95</v>
      </c>
      <c r="H25" s="46" t="n">
        <f aca="false">G25+G27</f>
        <v>690799.39</v>
      </c>
      <c r="I25" s="46" t="n">
        <f aca="false">H25+H27</f>
        <v>1379181.4</v>
      </c>
      <c r="J25" s="46" t="n">
        <f aca="false">I25+I27</f>
        <v>2753318.82</v>
      </c>
      <c r="K25" s="46" t="n">
        <f aca="false">J25+J27</f>
        <v>5503404.22</v>
      </c>
      <c r="L25" s="46" t="n">
        <f aca="false">K25+K27</f>
        <v>11012016.79</v>
      </c>
      <c r="M25" s="46" t="n">
        <f aca="false">L25+L27</f>
        <v>22027170.36</v>
      </c>
      <c r="N25" s="46" t="n">
        <f aca="false">B25</f>
        <v>12500</v>
      </c>
    </row>
    <row r="26" customFormat="false" ht="18" hidden="false" customHeight="true" outlineLevel="0" collapsed="false">
      <c r="A26" s="47" t="s">
        <v>787</v>
      </c>
      <c r="B26" s="46" t="n">
        <f aca="false">B22</f>
        <v>-2338.28</v>
      </c>
      <c r="C26" s="46" t="n">
        <f aca="false">C22</f>
        <v>-579.66</v>
      </c>
      <c r="D26" s="46" t="n">
        <f aca="false">D22</f>
        <v>-606.66</v>
      </c>
      <c r="E26" s="46" t="n">
        <f aca="false">E22</f>
        <v>414.369999999999</v>
      </c>
      <c r="F26" s="46" t="n">
        <f aca="false">F22</f>
        <v>-7322.39</v>
      </c>
      <c r="G26" s="46" t="n">
        <f aca="false">G22</f>
        <v>-7260.51</v>
      </c>
      <c r="H26" s="46" t="n">
        <f aca="false">H22</f>
        <v>-2417.38</v>
      </c>
      <c r="I26" s="46" t="n">
        <f aca="false">I22</f>
        <v>-5043.98</v>
      </c>
      <c r="J26" s="46" t="n">
        <f aca="false">J22</f>
        <v>-3233.42</v>
      </c>
      <c r="K26" s="46" t="n">
        <f aca="false">K22</f>
        <v>5208.35</v>
      </c>
      <c r="L26" s="46" t="n">
        <f aca="false">L22</f>
        <v>3136.78</v>
      </c>
      <c r="M26" s="46" t="n">
        <f aca="false">M22</f>
        <v>7600.38</v>
      </c>
      <c r="N26" s="46" t="n">
        <f aca="false">SUM(B26:M26)</f>
        <v>-12442.4</v>
      </c>
    </row>
    <row r="27" customFormat="false" ht="18" hidden="false" customHeight="true" outlineLevel="0" collapsed="false">
      <c r="A27" s="48" t="s">
        <v>788</v>
      </c>
      <c r="B27" s="49" t="n">
        <f aca="false">B25+B26</f>
        <v>10161.72</v>
      </c>
      <c r="C27" s="49" t="n">
        <f aca="false">C25+C26</f>
        <v>22082.06</v>
      </c>
      <c r="D27" s="49" t="n">
        <f aca="false">D25+D26</f>
        <v>44137.12</v>
      </c>
      <c r="E27" s="49" t="n">
        <f aca="false">E25+E26</f>
        <v>89295.27</v>
      </c>
      <c r="F27" s="49" t="n">
        <f aca="false">F25+F26</f>
        <v>170853.78</v>
      </c>
      <c r="G27" s="49" t="n">
        <f aca="false">G25+G26</f>
        <v>341769.44</v>
      </c>
      <c r="H27" s="49" t="n">
        <f aca="false">H25+H26</f>
        <v>688382.01</v>
      </c>
      <c r="I27" s="49" t="n">
        <f aca="false">I25+I26</f>
        <v>1374137.42</v>
      </c>
      <c r="J27" s="49" t="n">
        <f aca="false">J25+J26</f>
        <v>2750085.4</v>
      </c>
      <c r="K27" s="49" t="n">
        <f aca="false">K25+K26</f>
        <v>5508612.57</v>
      </c>
      <c r="L27" s="49" t="n">
        <f aca="false">L25+L26</f>
        <v>11015153.57</v>
      </c>
      <c r="M27" s="49" t="n">
        <f aca="false">M25+M26</f>
        <v>22034770.74</v>
      </c>
      <c r="N27" s="49" t="n">
        <f aca="false">N25+N26</f>
        <v>57.5999999999949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2"/>
    <col collapsed="false" customWidth="true" hidden="false" outlineLevel="0" max="4" min="3" style="0" width="22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15" hidden="false" customHeight="false" outlineLevel="0" collapsed="false">
      <c r="A1" s="12" t="s">
        <v>35</v>
      </c>
      <c r="B1" s="12" t="s">
        <v>34</v>
      </c>
      <c r="C1" s="12" t="s">
        <v>789</v>
      </c>
      <c r="D1" s="12" t="s">
        <v>790</v>
      </c>
      <c r="E1" s="12" t="s">
        <v>791</v>
      </c>
      <c r="F1" s="12" t="s">
        <v>38</v>
      </c>
    </row>
    <row r="2" customFormat="false" ht="15" hidden="false" customHeight="false" outlineLevel="0" collapsed="false">
      <c r="A2" s="50" t="s">
        <v>46</v>
      </c>
      <c r="B2" s="51" t="s">
        <v>45</v>
      </c>
      <c r="C2" s="34" t="n">
        <v>19600</v>
      </c>
      <c r="D2" s="35" t="n">
        <f aca="false">C2*12</f>
        <v>235200</v>
      </c>
      <c r="E2" s="15" t="s">
        <v>792</v>
      </c>
      <c r="F2" s="52" t="s">
        <v>793</v>
      </c>
    </row>
    <row r="3" customFormat="false" ht="15" hidden="false" customHeight="false" outlineLevel="0" collapsed="false">
      <c r="A3" s="36" t="s">
        <v>49</v>
      </c>
      <c r="B3" s="53" t="s">
        <v>41</v>
      </c>
      <c r="C3" s="37" t="n">
        <v>8500</v>
      </c>
      <c r="D3" s="38" t="n">
        <f aca="false">C3*12</f>
        <v>102000</v>
      </c>
      <c r="E3" s="21" t="s">
        <v>794</v>
      </c>
      <c r="F3" s="54" t="s">
        <v>795</v>
      </c>
    </row>
    <row r="4" customFormat="false" ht="15" hidden="false" customHeight="false" outlineLevel="0" collapsed="false">
      <c r="A4" s="33" t="s">
        <v>42</v>
      </c>
      <c r="B4" s="55" t="s">
        <v>41</v>
      </c>
      <c r="C4" s="34" t="n">
        <v>1500</v>
      </c>
      <c r="D4" s="35" t="n">
        <f aca="false">C4*12</f>
        <v>18000</v>
      </c>
      <c r="E4" s="15" t="s">
        <v>792</v>
      </c>
      <c r="F4" s="52" t="s">
        <v>796</v>
      </c>
    </row>
    <row r="5" customFormat="false" ht="15" hidden="false" customHeight="false" outlineLevel="0" collapsed="false">
      <c r="A5" s="36" t="s">
        <v>58</v>
      </c>
      <c r="B5" s="53" t="s">
        <v>41</v>
      </c>
      <c r="C5" s="37" t="n">
        <v>2200</v>
      </c>
      <c r="D5" s="38" t="n">
        <f aca="false">C5*12</f>
        <v>26400</v>
      </c>
      <c r="E5" s="21" t="s">
        <v>792</v>
      </c>
      <c r="F5" s="54" t="s">
        <v>796</v>
      </c>
    </row>
    <row r="6" customFormat="false" ht="15" hidden="false" customHeight="false" outlineLevel="0" collapsed="false">
      <c r="A6" s="33" t="s">
        <v>83</v>
      </c>
      <c r="B6" s="55" t="s">
        <v>41</v>
      </c>
      <c r="C6" s="34" t="n">
        <v>480</v>
      </c>
      <c r="D6" s="35" t="n">
        <f aca="false">C6*12</f>
        <v>5760</v>
      </c>
      <c r="E6" s="15" t="s">
        <v>794</v>
      </c>
      <c r="F6" s="52" t="s">
        <v>795</v>
      </c>
    </row>
    <row r="7" customFormat="false" ht="15" hidden="false" customHeight="false" outlineLevel="0" collapsed="false">
      <c r="A7" s="36" t="s">
        <v>87</v>
      </c>
      <c r="B7" s="53" t="s">
        <v>41</v>
      </c>
      <c r="C7" s="37" t="n">
        <v>620</v>
      </c>
      <c r="D7" s="38" t="n">
        <f aca="false">C7*12</f>
        <v>7440</v>
      </c>
      <c r="E7" s="21" t="s">
        <v>794</v>
      </c>
      <c r="F7" s="54" t="s">
        <v>795</v>
      </c>
    </row>
    <row r="8" customFormat="false" ht="15" hidden="false" customHeight="false" outlineLevel="0" collapsed="false">
      <c r="A8" s="33" t="s">
        <v>74</v>
      </c>
      <c r="B8" s="55" t="s">
        <v>41</v>
      </c>
      <c r="C8" s="34" t="n">
        <v>280</v>
      </c>
      <c r="D8" s="35" t="n">
        <f aca="false">C8*12</f>
        <v>3360</v>
      </c>
      <c r="E8" s="15" t="s">
        <v>794</v>
      </c>
      <c r="F8" s="52" t="s">
        <v>795</v>
      </c>
    </row>
    <row r="9" customFormat="false" ht="15" hidden="false" customHeight="false" outlineLevel="0" collapsed="false">
      <c r="A9" s="36" t="s">
        <v>107</v>
      </c>
      <c r="B9" s="53" t="s">
        <v>41</v>
      </c>
      <c r="C9" s="37" t="n">
        <v>90</v>
      </c>
      <c r="D9" s="38" t="n">
        <f aca="false">C9*12</f>
        <v>1080</v>
      </c>
      <c r="E9" s="21" t="s">
        <v>794</v>
      </c>
      <c r="F9" s="54" t="s">
        <v>795</v>
      </c>
    </row>
    <row r="10" customFormat="false" ht="15" hidden="false" customHeight="false" outlineLevel="0" collapsed="false">
      <c r="A10" s="33" t="s">
        <v>61</v>
      </c>
      <c r="B10" s="55" t="s">
        <v>41</v>
      </c>
      <c r="C10" s="34" t="n">
        <v>80</v>
      </c>
      <c r="D10" s="35" t="n">
        <f aca="false">C10*12</f>
        <v>960</v>
      </c>
      <c r="E10" s="15" t="s">
        <v>792</v>
      </c>
      <c r="F10" s="52" t="s">
        <v>796</v>
      </c>
    </row>
    <row r="11" customFormat="false" ht="15" hidden="false" customHeight="false" outlineLevel="0" collapsed="false">
      <c r="A11" s="36" t="s">
        <v>64</v>
      </c>
      <c r="B11" s="53" t="s">
        <v>41</v>
      </c>
      <c r="C11" s="37" t="n">
        <v>120</v>
      </c>
      <c r="D11" s="38" t="n">
        <f aca="false">C11*12</f>
        <v>1440</v>
      </c>
      <c r="E11" s="21" t="s">
        <v>792</v>
      </c>
      <c r="F11" s="54" t="s">
        <v>796</v>
      </c>
    </row>
    <row r="12" customFormat="false" ht="15" hidden="false" customHeight="false" outlineLevel="0" collapsed="false">
      <c r="A12" s="33" t="s">
        <v>67</v>
      </c>
      <c r="B12" s="55" t="s">
        <v>41</v>
      </c>
      <c r="C12" s="34" t="n">
        <v>180</v>
      </c>
      <c r="D12" s="35" t="n">
        <f aca="false">C12*12</f>
        <v>2160</v>
      </c>
      <c r="E12" s="15" t="s">
        <v>794</v>
      </c>
      <c r="F12" s="52" t="s">
        <v>795</v>
      </c>
    </row>
    <row r="13" customFormat="false" ht="15" hidden="false" customHeight="false" outlineLevel="0" collapsed="false">
      <c r="A13" s="36" t="s">
        <v>53</v>
      </c>
      <c r="B13" s="53" t="s">
        <v>41</v>
      </c>
      <c r="C13" s="37" t="n">
        <v>150</v>
      </c>
      <c r="D13" s="38" t="n">
        <f aca="false">C13*12</f>
        <v>1800</v>
      </c>
      <c r="E13" s="21" t="s">
        <v>792</v>
      </c>
      <c r="F13" s="54" t="s">
        <v>796</v>
      </c>
    </row>
    <row r="14" customFormat="false" ht="15" hidden="false" customHeight="false" outlineLevel="0" collapsed="false">
      <c r="A14" s="33" t="s">
        <v>92</v>
      </c>
      <c r="B14" s="55" t="s">
        <v>41</v>
      </c>
      <c r="C14" s="34" t="n">
        <v>120</v>
      </c>
      <c r="D14" s="35" t="n">
        <f aca="false">C14*12</f>
        <v>1440</v>
      </c>
      <c r="E14" s="15" t="s">
        <v>794</v>
      </c>
      <c r="F14" s="52" t="s">
        <v>795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8"/>
    <col collapsed="false" customWidth="true" hidden="false" outlineLevel="0" max="3" min="3" style="0" width="20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12" t="s">
        <v>797</v>
      </c>
      <c r="B1" s="12" t="s">
        <v>798</v>
      </c>
      <c r="C1" s="12" t="s">
        <v>799</v>
      </c>
      <c r="D1" s="12" t="s">
        <v>38</v>
      </c>
    </row>
    <row r="2" customFormat="false" ht="15" hidden="false" customHeight="false" outlineLevel="0" collapsed="false">
      <c r="A2" s="50" t="s">
        <v>800</v>
      </c>
      <c r="B2" s="56" t="s">
        <v>801</v>
      </c>
      <c r="C2" s="33" t="s">
        <v>802</v>
      </c>
      <c r="D2" s="52" t="s">
        <v>803</v>
      </c>
    </row>
    <row r="3" customFormat="false" ht="15" hidden="false" customHeight="false" outlineLevel="0" collapsed="false">
      <c r="A3" s="57" t="s">
        <v>804</v>
      </c>
      <c r="B3" s="58" t="s">
        <v>805</v>
      </c>
      <c r="C3" s="36" t="s">
        <v>806</v>
      </c>
      <c r="D3" s="54" t="s">
        <v>807</v>
      </c>
    </row>
    <row r="4" customFormat="false" ht="15" hidden="false" customHeight="false" outlineLevel="0" collapsed="false">
      <c r="A4" s="50" t="s">
        <v>808</v>
      </c>
      <c r="B4" s="56" t="s">
        <v>809</v>
      </c>
      <c r="C4" s="33" t="s">
        <v>810</v>
      </c>
      <c r="D4" s="52" t="s">
        <v>811</v>
      </c>
    </row>
    <row r="5" customFormat="false" ht="15" hidden="false" customHeight="false" outlineLevel="0" collapsed="false">
      <c r="A5" s="57" t="s">
        <v>812</v>
      </c>
      <c r="B5" s="58" t="s">
        <v>813</v>
      </c>
      <c r="C5" s="36" t="s">
        <v>814</v>
      </c>
      <c r="D5" s="54" t="s">
        <v>815</v>
      </c>
    </row>
    <row r="6" customFormat="false" ht="15" hidden="false" customHeight="false" outlineLevel="0" collapsed="false">
      <c r="A6" s="50" t="s">
        <v>816</v>
      </c>
      <c r="B6" s="56" t="s">
        <v>817</v>
      </c>
      <c r="C6" s="33" t="s">
        <v>818</v>
      </c>
      <c r="D6" s="52" t="s">
        <v>819</v>
      </c>
    </row>
    <row r="7" customFormat="false" ht="15" hidden="false" customHeight="false" outlineLevel="0" collapsed="false">
      <c r="A7" s="57" t="s">
        <v>820</v>
      </c>
      <c r="B7" s="58" t="s">
        <v>821</v>
      </c>
      <c r="C7" s="36" t="s">
        <v>822</v>
      </c>
      <c r="D7" s="54" t="s">
        <v>823</v>
      </c>
    </row>
    <row r="8" customFormat="false" ht="15" hidden="false" customHeight="false" outlineLevel="0" collapsed="false">
      <c r="A8" s="50" t="s">
        <v>824</v>
      </c>
      <c r="B8" s="56" t="s">
        <v>825</v>
      </c>
      <c r="C8" s="33" t="s">
        <v>826</v>
      </c>
      <c r="D8" s="52" t="s">
        <v>827</v>
      </c>
    </row>
    <row r="9" customFormat="false" ht="15" hidden="false" customHeight="false" outlineLevel="0" collapsed="false">
      <c r="A9" s="57" t="s">
        <v>828</v>
      </c>
      <c r="B9" s="58" t="s">
        <v>829</v>
      </c>
      <c r="C9" s="36" t="s">
        <v>830</v>
      </c>
      <c r="D9" s="54" t="s">
        <v>831</v>
      </c>
    </row>
    <row r="10" customFormat="false" ht="15" hidden="false" customHeight="false" outlineLevel="0" collapsed="false">
      <c r="A10" s="50" t="s">
        <v>11</v>
      </c>
      <c r="B10" s="56" t="s">
        <v>832</v>
      </c>
      <c r="C10" s="33" t="s">
        <v>833</v>
      </c>
      <c r="D10" s="52" t="s">
        <v>834</v>
      </c>
    </row>
    <row r="11" customFormat="false" ht="15" hidden="false" customHeight="false" outlineLevel="0" collapsed="false">
      <c r="A11" s="57" t="s">
        <v>835</v>
      </c>
      <c r="B11" s="58" t="s">
        <v>836</v>
      </c>
      <c r="C11" s="36" t="s">
        <v>837</v>
      </c>
      <c r="D11" s="54" t="s">
        <v>838</v>
      </c>
    </row>
    <row r="12" customFormat="false" ht="15" hidden="false" customHeight="false" outlineLevel="0" collapsed="false">
      <c r="A12" s="50" t="s">
        <v>839</v>
      </c>
      <c r="B12" s="56" t="s">
        <v>840</v>
      </c>
      <c r="C12" s="33" t="s">
        <v>841</v>
      </c>
      <c r="D12" s="52" t="s">
        <v>842</v>
      </c>
    </row>
    <row r="13" customFormat="false" ht="15" hidden="false" customHeight="false" outlineLevel="0" collapsed="false">
      <c r="A13" s="57" t="s">
        <v>843</v>
      </c>
      <c r="B13" s="58" t="s">
        <v>844</v>
      </c>
      <c r="C13" s="36" t="s">
        <v>845</v>
      </c>
      <c r="D13" s="54" t="s">
        <v>846</v>
      </c>
    </row>
    <row r="14" customFormat="false" ht="15" hidden="false" customHeight="false" outlineLevel="0" collapsed="false">
      <c r="A14" s="50" t="s">
        <v>847</v>
      </c>
      <c r="B14" s="56" t="s">
        <v>848</v>
      </c>
      <c r="C14" s="33" t="s">
        <v>849</v>
      </c>
      <c r="D14" s="52" t="s">
        <v>850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2026-05-09T14:27:07Z</dcterms:created>
  <dc:creator>openpyxl</dc:creator>
  <dc:description/>
  <dc:language>en-US</dc:language>
  <cp:lastModifiedBy/>
  <dcterms:modified xsi:type="dcterms:W3CDTF">2026-05-09T14:27:07Z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